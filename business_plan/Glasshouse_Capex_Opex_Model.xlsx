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puts" sheetId="2" state="visible" r:id="rId2"/>
    <sheet xmlns:r="http://schemas.openxmlformats.org/officeDocument/2006/relationships" name="Rates" sheetId="3" state="visible" r:id="rId3"/>
    <sheet xmlns:r="http://schemas.openxmlformats.org/officeDocument/2006/relationships" name="Scenarios" sheetId="4" state="visible" r:id="rId4"/>
    <sheet xmlns:r="http://schemas.openxmlformats.org/officeDocument/2006/relationships" name="Capex" sheetId="5" state="visible" r:id="rId5"/>
    <sheet xmlns:r="http://schemas.openxmlformats.org/officeDocument/2006/relationships" name="Energy" sheetId="6" state="visible" r:id="rId6"/>
    <sheet xmlns:r="http://schemas.openxmlformats.org/officeDocument/2006/relationships" name="Opex" sheetId="7" state="visible" r:id="rId7"/>
    <sheet xmlns:r="http://schemas.openxmlformats.org/officeDocument/2006/relationships" name="Results" sheetId="8" state="visible" r:id="rId8"/>
    <sheet xmlns:r="http://schemas.openxmlformats.org/officeDocument/2006/relationships" name="Scale" sheetId="9" state="visible" r:id="rId9"/>
    <sheet xmlns:r="http://schemas.openxmlformats.org/officeDocument/2006/relationships" name="Capex Levers" sheetId="10" state="visible" r:id="rId10"/>
    <sheet xmlns:r="http://schemas.openxmlformats.org/officeDocument/2006/relationships" name="Prices" sheetId="11" state="visible" r:id="rId11"/>
    <sheet xmlns:r="http://schemas.openxmlformats.org/officeDocument/2006/relationships" name="Sources" sheetId="12" state="visible" r:id="rId12"/>
  </sheets>
  <definedNames>
    <definedName name="rate_commercial">'Inputs'!$B$6</definedName>
    <definedName name="rate_public">'Inputs'!$B$7</definedName>
    <definedName name="years">'Inputs'!$B$8</definedName>
    <definedName name="eur_gbp">'Inputs'!$B$9</definedName>
    <definedName name="price_cucumber">'Inputs'!$B$11</definedName>
    <definedName name="commission">'Inputs'!$B$12</definedName>
    <definedName name="import_parity">'Inputs'!$B$13</definedName>
    <definedName name="labour_rate">'Inputs'!$B$15</definedName>
    <definedName name="labour_h_m2">'Inputs'!$B$16</definedName>
    <definedName name="co2_price">'Inputs'!$B$17</definedName>
    <definedName name="plants_m2">'Inputs'!$B$18</definedName>
    <definedName name="substrate_m2">'Inputs'!$B$19</definedName>
    <definedName name="materials_m2">'Inputs'!$B$20</definedName>
    <definedName name="pack_gbp_kg">'Inputs'!$B$21</definedName>
    <definedName name="om_frac">'Inputs'!$B$22</definedName>
    <definedName name="overheads_m2">'Inputs'!$B$23</definedName>
    <definedName name="land_rent_ha">'Inputs'!$B$24</definedName>
    <definedName name="land_extra">'Inputs'!$B$25</definedName>
    <definedName name="dev_frac">'Inputs'!$B$27</definedName>
    <definedName name="contingency">'Inputs'!$B$28</definedName>
    <definedName name="hv_conn">'Inputs'!$B$29</definedName>
    <definedName name="r_steel">'Rates'!$D$6</definedName>
    <definedName name="life_steel">'Rates'!$F$6</definedName>
    <definedName name="r_aluminium">'Rates'!$D$7</definedName>
    <definedName name="life_aluminium">'Rates'!$F$7</definedName>
    <definedName name="r_glass_single_m2">'Rates'!$D$8</definedName>
    <definedName name="life_glass_single_m2">'Rates'!$F$8</definedName>
    <definedName name="r_glass_dbl_ar_m2">'Rates'!$D$9</definedName>
    <definedName name="life_glass_dbl_ar_m2">'Rates'!$F$9</definedName>
    <definedName name="r_glass_dbl_lowe_m2">'Rates'!$D$10</definedName>
    <definedName name="life_glass_dbl_lowe_m2">'Rates'!$F$10</definedName>
    <definedName name="r_concrete">'Rates'!$D$11</definedName>
    <definedName name="life_concrete">'Rates'!$F$11</definedName>
    <definedName name="r_heating_pipe_m">'Rates'!$D$12</definedName>
    <definedName name="life_heating_pipe_m">'Rates'!$F$12</definedName>
    <definedName name="r_energy_screen_m2">'Rates'!$D$13</definedName>
    <definedName name="life_energy_screen_m2">'Rates'!$F$13</definedName>
    <definedName name="r_resid">'Rates'!$D$14</definedName>
    <definedName name="life_resid">'Rates'!$F$14</definedName>
    <definedName name="dea_hp_1">'Rates'!$C$17</definedName>
    <definedName name="dea_hp_3">'Rates'!$D$17</definedName>
    <definedName name="dea_hp_10">'Rates'!$E$17</definedName>
    <definedName name="life_hp">'Rates'!$F$17</definedName>
    <definedName name="om_hp">'Rates'!$D$18</definedName>
    <definedName name="r_boiler">'Rates'!$D$19</definedName>
    <definedName name="life_boiler">'Rates'!$F$19</definedName>
    <definedName name="om_boiler">'Rates'!$D$20</definedName>
    <definedName name="r_store">'Rates'!$D$21</definedName>
    <definedName name="life_store">'Rates'!$F$21</definedName>
    <definedName name="om_store">'Rates'!$D$22</definedName>
    <definedName name="turb_kw">'Rates'!$D$25</definedName>
    <definedName name="turb_gbp_kw">'Rates'!$D$26</definedName>
    <definedName name="turb_conn">'Rates'!$D$27</definedName>
    <definedName name="turb_om_kw">'Rates'!$D$28</definedName>
    <definedName name="turb_gen">'Rates'!$D$29</definedName>
    <definedName name="turb_life">'Rates'!$D$30</definedName>
    <definedName name="export_price">'Rates'!$D$31</definedName>
    <definedName name="pw_price">'Rates'!$D$32</definedName>
    <definedName name="pw_capex">'Rates'!$D$33</definedName>
    <definedName name="fixed_resid_share">'Scale'!$B$4</definedName>
    <definedName name="perim_share">'Scale'!$B$5</definedName>
    <definedName name="hp_load_w_per_m2">'Scale'!$B$6</definedName>
    <definedName name="hp_share">'Scale'!$B$7</definedName>
  </definedNames>
  <calcPr calcId="124519" fullCalcOnLoad="1"/>
</workbook>
</file>

<file path=xl/styles.xml><?xml version="1.0" encoding="utf-8"?>
<styleSheet xmlns="http://schemas.openxmlformats.org/spreadsheetml/2006/main">
  <numFmts count="10">
    <numFmt numFmtId="164" formatCode="0.0%;(0.0%);&quot;-&quot;"/>
    <numFmt numFmtId="165" formatCode="#,##0;(#,##0);&quot;-&quot;"/>
    <numFmt numFmtId="166" formatCode="0.0000"/>
    <numFmt numFmtId="167" formatCode="£#,##0.000;(£#,##0.000);&quot;-&quot;"/>
    <numFmt numFmtId="168" formatCode="£#,##0.00;(£#,##0.00);&quot;-&quot;"/>
    <numFmt numFmtId="169" formatCode="#,##0.00;(#,##0.00);&quot;-&quot;"/>
    <numFmt numFmtId="170" formatCode="£#,##0;(£#,##0);&quot;-&quot;"/>
    <numFmt numFmtId="171" formatCode="0.000"/>
    <numFmt numFmtId="172" formatCode="0.00000"/>
    <numFmt numFmtId="173" formatCode="#,##0.0;(#,##0.0);&quot;-&quot;"/>
  </numFmts>
  <fonts count="8">
    <font>
      <name val="Calibri"/>
      <family val="2"/>
      <color theme="1"/>
      <sz val="11"/>
      <scheme val="minor"/>
    </font>
    <font>
      <name val="Arial"/>
      <b val="1"/>
      <sz val="14"/>
    </font>
    <font>
      <name val="Arial"/>
      <i val="1"/>
      <color rgb="00555555"/>
      <sz val="9"/>
    </font>
    <font>
      <name val="Arial"/>
      <b val="1"/>
      <sz val="10"/>
    </font>
    <font>
      <name val="Arial"/>
      <color rgb="00000000"/>
      <sz val="10"/>
    </font>
    <font>
      <name val="Arial"/>
      <b val="1"/>
      <color rgb="00FFFFFF"/>
      <sz val="11"/>
    </font>
    <font>
      <name val="Arial"/>
      <color rgb="000000FF"/>
      <sz val="10"/>
    </font>
    <font>
      <name val="Arial"/>
      <color rgb="00008000"/>
      <sz val="10"/>
    </font>
  </fonts>
  <fills count="6">
    <fill>
      <patternFill/>
    </fill>
    <fill>
      <patternFill patternType="gray125"/>
    </fill>
    <fill>
      <patternFill patternType="solid">
        <fgColor rgb="001F4E78"/>
      </patternFill>
    </fill>
    <fill>
      <patternFill patternType="solid">
        <fgColor rgb="00DDEBF7"/>
      </patternFill>
    </fill>
    <fill>
      <patternFill patternType="solid">
        <fgColor rgb="00FFFF00"/>
      </patternFill>
    </fill>
    <fill>
      <patternFill patternType="solid">
        <fgColor rgb="00F2F2F2"/>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3" fillId="3" borderId="0" pivotButton="0" quotePrefix="0" xfId="0"/>
    <xf numFmtId="0" fontId="0" fillId="3" borderId="0" pivotButton="0" quotePrefix="0" xfId="0"/>
    <xf numFmtId="0" fontId="4" fillId="0" borderId="0" pivotButton="0" quotePrefix="0" xfId="0"/>
    <xf numFmtId="164" fontId="6" fillId="4" borderId="0" pivotButton="0" quotePrefix="0" xfId="0"/>
    <xf numFmtId="164" fontId="6" fillId="0" borderId="0" pivotButton="0" quotePrefix="0" xfId="0"/>
    <xf numFmtId="165" fontId="6" fillId="0" borderId="0" pivotButton="0" quotePrefix="0" xfId="0"/>
    <xf numFmtId="166" fontId="6" fillId="0" borderId="0" pivotButton="0" quotePrefix="0" xfId="0"/>
    <xf numFmtId="167" fontId="7" fillId="4" borderId="0" pivotButton="0" quotePrefix="0" xfId="0"/>
    <xf numFmtId="167"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68" fontId="4" fillId="0" borderId="0" pivotButton="0" quotePrefix="0" xfId="0"/>
    <xf numFmtId="168" fontId="6" fillId="4" borderId="0" pivotButton="0" quotePrefix="0" xfId="0"/>
    <xf numFmtId="171" fontId="6" fillId="0" borderId="0" pivotButton="0" quotePrefix="0" xfId="0"/>
    <xf numFmtId="172" fontId="6" fillId="0" borderId="0" pivotButton="0" quotePrefix="0" xfId="0"/>
    <xf numFmtId="173" fontId="6" fillId="0" borderId="0" pivotButton="0" quotePrefix="0" xfId="0"/>
    <xf numFmtId="170" fontId="6" fillId="4" borderId="0" pivotButton="0" quotePrefix="0" xfId="0"/>
    <xf numFmtId="170" fontId="4" fillId="0" borderId="0" pivotButton="0" quotePrefix="0" xfId="0"/>
    <xf numFmtId="165" fontId="7" fillId="0" borderId="0" pivotButton="0" quotePrefix="0" xfId="0"/>
    <xf numFmtId="0" fontId="3" fillId="5" borderId="0" pivotButton="0" quotePrefix="0" xfId="0"/>
    <xf numFmtId="0" fontId="4" fillId="5" borderId="0" pivotButton="0" quotePrefix="0" xfId="0"/>
    <xf numFmtId="170" fontId="3" fillId="5" borderId="0" pivotButton="0" quotePrefix="0" xfId="0"/>
    <xf numFmtId="0" fontId="3" fillId="4" borderId="0" pivotButton="0" quotePrefix="0" xfId="0"/>
    <xf numFmtId="0" fontId="4" fillId="4" borderId="0" pivotButton="0" quotePrefix="0" xfId="0"/>
    <xf numFmtId="170" fontId="3" fillId="4" borderId="0" pivotButton="0" quotePrefix="0" xfId="0"/>
    <xf numFmtId="164" fontId="4" fillId="0" borderId="0" pivotButton="0" quotePrefix="0" xfId="0"/>
    <xf numFmtId="167" fontId="4" fillId="0" borderId="0" pivotButton="0" quotePrefix="0" xfId="0"/>
    <xf numFmtId="170" fontId="7" fillId="0" borderId="0" pivotButton="0" quotePrefix="0" xfId="0"/>
    <xf numFmtId="170" fontId="7" fillId="4" borderId="0" pivotButton="0" quotePrefix="0" xfId="0"/>
    <xf numFmtId="165" fontId="4" fillId="0" borderId="0" pivotButton="0" quotePrefix="0" xfId="0"/>
    <xf numFmtId="167" fontId="3" fillId="4" borderId="0" pivotButton="0" quotePrefix="0" xfId="0"/>
    <xf numFmtId="167" fontId="7" fillId="0" borderId="0" pivotButton="0" quotePrefix="0" xfId="0"/>
    <xf numFmtId="170" fontId="3" fillId="0" borderId="0" pivotButton="0" quotePrefix="0" xfId="0"/>
    <xf numFmtId="173" fontId="4" fillId="0" borderId="0" pivotButton="0" quotePrefix="0" xfId="0"/>
    <xf numFmtId="168" fontId="3" fillId="5" borderId="0" pivotButton="0" quotePrefix="0" xfId="0"/>
    <xf numFmtId="168" fontId="3" fillId="4"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model</author>
  </authors>
  <commentList>
    <comment ref="B4" authorId="0" shapeId="0">
      <text>
        <t>From data/residual_items.csv (BP19b): fixed per-site lines / the £94/m² residual at 1 ha. Only the climate computer line is priced from a public source; 85% of the residual is still placeholder split, so the share is a labelled estimate until the RFQ returns. 0 % reproduces the linear model.</t>
      </text>
    </comment>
    <comment ref="B5" authorId="0" shapeId="0">
      <text>
        <t>Geometric (bplan_residual.PerimeterShare): wall glazing and bars, 16.8% of the glazed area (perimeter x gutter height), over the priced structure. Edge foundations and gable framing are not included (no quantities yet), so this is a lower bound.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3" customWidth="1" min="1" max="1"/>
    <col width="110" customWidth="1" min="2" max="2"/>
  </cols>
  <sheetData>
    <row r="1">
      <c r="A1" s="1" t="inlineStr">
        <is>
          <t>Glasshouse capex / opex model: track B lead design (1 ha cucumber, Scotland)</t>
        </is>
      </c>
    </row>
    <row r="2">
      <c r="A2" s="2" t="inlineStr">
        <is>
          <t>Built 2026-10-05 by lca/bplan_workbook.py from the verified BEng-CEA-Heatpump/lca model. Edit blue cells.</t>
        </is>
      </c>
    </row>
    <row r="4">
      <c r="A4" s="3" t="inlineStr">
        <is>
          <t>What this is</t>
        </is>
      </c>
    </row>
    <row r="5" ht="30" customHeight="1">
      <c r="B5" s="4" t="inlineStr">
        <is>
          <t>Every capital and running cost of the lead glasshouse design, item by item, for five design scenarios side by side, so you can see where the money goes and test ways to cut the initial spend.</t>
        </is>
      </c>
    </row>
    <row r="6" ht="15" customHeight="1">
      <c r="B6" s="4" t="inlineStr">
        <is>
          <t>Results are computed live: change a blue input or a unit rate and every total, £/kg and NPV updates.</t>
        </is>
      </c>
    </row>
    <row r="7">
      <c r="A7" s="3" t="inlineStr">
        <is>
          <t>How to use</t>
        </is>
      </c>
    </row>
    <row r="8" ht="15" customHeight="1">
      <c r="B8" s="4" t="inlineStr">
        <is>
          <t>1. 'Inputs': discount rates, prices, labour rate, commission and other global assumptions.</t>
        </is>
      </c>
    </row>
    <row r="9" ht="15" customHeight="1">
      <c r="B9" s="4" t="inlineStr">
        <is>
          <t>2. 'Rates': unit costs (£/t steel, £/m² glass, £/kW heat pump ...). Try supplier quotes here.</t>
        </is>
      </c>
    </row>
    <row r="10" ht="30" customHeight="1">
      <c r="B10" s="4" t="inlineStr">
        <is>
          <t>3. 'Scenarios': the physical design of each option (areas, quantities, kW, MWh, yield) from the simulation.</t>
        </is>
      </c>
    </row>
    <row r="11" ht="30" customHeight="1">
      <c r="B11" s="4" t="inlineStr">
        <is>
          <t>4. 'Capex': initial expenditure by item and by cost driver (per m², per kW, fixed). 'Opex': annual costs.</t>
        </is>
      </c>
    </row>
    <row r="12" ht="15" customHeight="1">
      <c r="B12" s="4" t="inlineStr">
        <is>
          <t>5. 'Results': initial spend, cost per kg, margin and NPV at 8 % (commercial) and 3.5 % (Green Book).</t>
        </is>
      </c>
    </row>
    <row r="13" ht="30" customHeight="1">
      <c r="B13" s="4" t="inlineStr">
        <is>
          <t>6. 'Scale': how cost per m² changes with greenhouse size when fixed costs are separated from per-m² costs.</t>
        </is>
      </c>
    </row>
    <row r="14" ht="15" customHeight="1">
      <c r="B14" s="4" t="inlineStr">
        <is>
          <t>7. 'Capex Levers': every capex-reduction idea, its status, evidence and next step.</t>
        </is>
      </c>
    </row>
    <row r="15">
      <c r="A15" s="3" t="inlineStr">
        <is>
          <t>Colour code</t>
        </is>
      </c>
    </row>
    <row r="16" ht="30" customHeight="1">
      <c r="B16" s="4" t="inlineStr">
        <is>
          <t>Blue text = input you can change. Black = formula. Green = link to another sheet. Yellow fill = key assumption. Grey fill = totals.</t>
        </is>
      </c>
    </row>
    <row r="17">
      <c r="A17" s="3" t="inlineStr">
        <is>
          <t>Scenarios</t>
        </is>
      </c>
    </row>
    <row r="18" ht="15" customHeight="1">
      <c r="B18" s="4" t="inlineStr">
        <is>
          <t>S0: Today: double AR glass, heat pump 69 % + 4.2 MWh store, owned 2.5 MW turbine</t>
        </is>
      </c>
    </row>
    <row r="19" ht="15" customHeight="1">
      <c r="B19" s="4" t="inlineStr">
        <is>
          <t>S1: Double AR glass, LP-sized heat pump + peak boiler + store, owned turbine</t>
        </is>
      </c>
    </row>
    <row r="20" ht="15" customHeight="1">
      <c r="B20" s="4" t="inlineStr">
        <is>
          <t>S2: Single glass, LP-sized heat pump + peak boiler + store, owned turbine</t>
        </is>
      </c>
    </row>
    <row r="21" ht="15" customHeight="1">
      <c r="B21" s="4" t="inlineStr">
        <is>
          <t>S3: Single glass, LP-sized heat pump + peak boiler + store, private-wire PPA (no turbine)</t>
        </is>
      </c>
    </row>
    <row r="22" ht="15" customHeight="1">
      <c r="B22" s="4" t="inlineStr">
        <is>
          <t>S4: Double AR glass, LP-sized heat pump + peak boiler + store, private-wire PPA (no turbine)</t>
        </is>
      </c>
    </row>
    <row r="23">
      <c r="A23" s="3" t="inlineStr">
        <is>
          <t>Boundaries and basis</t>
        </is>
      </c>
    </row>
    <row r="24" ht="30" customHeight="1">
      <c r="B24" s="4" t="inlineStr">
        <is>
          <t>Cost boundary: farm gate to the supermarket regional distribution centre (RDC): growing, packing and haulage to the RDC are included; RDC-to-shelf is not (soil-to-shelf ledger is task BP15).</t>
        </is>
      </c>
    </row>
    <row r="25" ht="30" customHeight="1">
      <c r="B25" s="4" t="inlineStr">
        <is>
          <t>Price: DEFRA UK wholesale (weekly averages, 2023-26) weighted by the harvest month, less 14 % market commission (user decision 2026-10-05). Contract prices are not assumed to carry a premium.</t>
        </is>
      </c>
    </row>
    <row r="26" ht="60" customHeight="1">
      <c r="B26" s="4" t="inlineStr">
        <is>
          <t>Levelised costs use equivalent annual cost per item (capex x capital recovery factor at the item's life). NPV = (revenue - running costs - equivalent annual capital costs) x 30-year annuity factor. This is a steady-state shortcut: it omits the 80 % ramp-up year and the residual value that cashflow.py includes (the 'Results' sheet shows the check against cashflow.py).</t>
        </is>
      </c>
    </row>
    <row r="27" ht="45" customHeight="1">
      <c r="B27" s="4" t="inlineStr">
        <is>
          <t>The owned 2.5 MW turbine is a separate business: the greenhouse buys its power at the turbine's levelised cost, computed here at each discount rate. Its capex is reported as 'energy route' initial spend, not in the greenhouse cost per kg.</t>
        </is>
      </c>
    </row>
    <row r="28">
      <c r="A28" s="3" t="inlineStr">
        <is>
          <t>Status</t>
        </is>
      </c>
    </row>
    <row r="29" ht="30" customHeight="1">
      <c r="B29" s="4" t="inlineStr">
        <is>
          <t>Concept stage (Gate B). About 46 % of structure items are supplier placeholders (RFQ_SPEC.md). Yields are model results (0.89-1.03 x the Dutch average) awaiting UK evidence. See the 'Sources'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46" customWidth="1" min="1" max="1"/>
    <col width="14" customWidth="1" min="2" max="2"/>
    <col width="14" customWidth="1" min="3" max="3"/>
    <col width="18" customWidth="1" min="4" max="4"/>
    <col width="90" customWidth="1" min="5" max="5"/>
  </cols>
  <sheetData>
    <row r="1">
      <c r="A1" s="1" t="inlineStr">
        <is>
          <t>Global inputs</t>
        </is>
      </c>
    </row>
    <row r="2">
      <c r="A2" s="2" t="inlineStr">
        <is>
          <t>Blue = editable. Tier: sourced / standard / model / estimate / placeholder.</t>
        </is>
      </c>
    </row>
    <row r="4" ht="30" customHeight="1">
      <c r="A4" s="5" t="inlineStr">
        <is>
          <t>Input</t>
        </is>
      </c>
      <c r="B4" s="5" t="inlineStr">
        <is>
          <t>Value</t>
        </is>
      </c>
      <c r="C4" s="5" t="inlineStr">
        <is>
          <t>Unit</t>
        </is>
      </c>
      <c r="D4" s="5" t="inlineStr">
        <is>
          <t>Tier</t>
        </is>
      </c>
      <c r="E4" s="5" t="inlineStr">
        <is>
          <t>Source / note</t>
        </is>
      </c>
    </row>
    <row r="5">
      <c r="A5" s="6" t="inlineStr">
        <is>
          <t>Finance</t>
        </is>
      </c>
      <c r="B5" s="7" t="n"/>
      <c r="C5" s="7" t="n"/>
      <c r="D5" s="7" t="n"/>
      <c r="E5" s="7" t="n"/>
    </row>
    <row r="6">
      <c r="A6" s="8" t="inlineStr">
        <is>
          <t>Discount rate, commercial (headline)</t>
        </is>
      </c>
      <c r="B6" s="9" t="n">
        <v>0.08</v>
      </c>
      <c r="C6" s="8" t="inlineStr">
        <is>
          <t>/yr real</t>
        </is>
      </c>
      <c r="D6" s="8" t="inlineStr">
        <is>
          <t>choice</t>
        </is>
      </c>
      <c r="E6" s="4" t="inlineStr">
        <is>
          <t>Investor/bank basis (user decision 2026-10-05)</t>
        </is>
      </c>
    </row>
    <row r="7">
      <c r="A7" s="8" t="inlineStr">
        <is>
          <t>Discount rate, public (Green Book)</t>
        </is>
      </c>
      <c r="B7" s="10" t="n">
        <v>0.035</v>
      </c>
      <c r="C7" s="8" t="inlineStr">
        <is>
          <t>/yr real</t>
        </is>
      </c>
      <c r="D7" s="8" t="inlineStr">
        <is>
          <t>standard</t>
        </is>
      </c>
      <c r="E7" s="4" t="inlineStr">
        <is>
          <t>HM Treasury Green Book (2022) Annex 6: 3.5 % years 0-30</t>
        </is>
      </c>
    </row>
    <row r="8">
      <c r="A8" s="8" t="inlineStr">
        <is>
          <t>Study period</t>
        </is>
      </c>
      <c r="B8" s="11" t="n">
        <v>30</v>
      </c>
      <c r="C8" s="8" t="inlineStr">
        <is>
          <t>yr</t>
        </is>
      </c>
      <c r="D8" s="8" t="inlineStr">
        <is>
          <t>standard</t>
        </is>
      </c>
      <c r="E8" s="4" t="inlineStr">
        <is>
          <t>SCOPE §2; Green Book appraisal period</t>
        </is>
      </c>
    </row>
    <row r="9">
      <c r="A9" s="8" t="inlineStr">
        <is>
          <t>EUR to GBP</t>
        </is>
      </c>
      <c r="B9" s="12" t="n">
        <v>0.8567</v>
      </c>
      <c r="C9" s="8" t="inlineStr">
        <is>
          <t>GBP/EUR</t>
        </is>
      </c>
      <c r="D9" s="8" t="inlineStr">
        <is>
          <t>sourced</t>
        </is>
      </c>
      <c r="E9" s="4" t="inlineStr">
        <is>
          <t>ECB reference rates via api.frankfurter.dev, 2025 mean</t>
        </is>
      </c>
    </row>
    <row r="10">
      <c r="A10" s="6" t="inlineStr">
        <is>
          <t>Sales</t>
        </is>
      </c>
      <c r="B10" s="7" t="n"/>
      <c r="C10" s="7" t="n"/>
      <c r="D10" s="7" t="n"/>
      <c r="E10" s="7" t="n"/>
    </row>
    <row r="11">
      <c r="A11" s="8" t="inlineStr">
        <is>
          <t>Cucumber price, harvest-weighted (link to 'Prices')</t>
        </is>
      </c>
      <c r="B11" s="13">
        <f>'Prices'!$D$17</f>
        <v/>
      </c>
      <c r="C11" s="8" t="inlineStr">
        <is>
          <t>GBP/kg</t>
        </is>
      </c>
      <c r="D11" s="8" t="inlineStr">
        <is>
          <t>sourced</t>
        </is>
      </c>
      <c r="E11" s="4" t="inlineStr">
        <is>
          <t>DEFRA wholesale fruit and vegetable prices, weekly average, 2023-26, months with &lt; 3 UK observations use the UK import CIF price (Comtrade 2023-25). https://www.gov.uk/government/statistical-data-sets/wholesale-fruit-and-vegetable-prices-weekly-average</t>
        </is>
      </c>
    </row>
    <row r="12">
      <c r="A12" s="8" t="inlineStr">
        <is>
          <t>Market commission (wholesale route)</t>
        </is>
      </c>
      <c r="B12" s="9" t="n">
        <v>0.14</v>
      </c>
      <c r="C12" s="8" t="inlineStr">
        <is>
          <t>of revenue</t>
        </is>
      </c>
      <c r="D12" s="8" t="inlineStr">
        <is>
          <t>sourced (secondary)</t>
        </is>
      </c>
      <c r="E12" s="4" t="inlineStr">
        <is>
          <t>BritFarmers, T. Harfield, 'UK supermarket contracts vs wholesale pricing 2026' (trade guide, June 2026): 14 % commission plus transport. Was 5 % placeholder in cashflow.py</t>
        </is>
      </c>
    </row>
    <row r="13">
      <c r="A13" s="8" t="inlineStr">
        <is>
          <t>Import parity price at the RDC (reference only)</t>
        </is>
      </c>
      <c r="B13" s="14" t="n">
        <v>1.574</v>
      </c>
      <c r="C13" s="8" t="inlineStr">
        <is>
          <t>GBP/kg</t>
        </is>
      </c>
      <c r="D13" s="8" t="inlineStr">
        <is>
          <t>sourced</t>
        </is>
      </c>
      <c r="E13" s="4" t="inlineStr">
        <is>
          <t>Comtrade CIF 2023-25 at the UK border + port-to-RDC haul (site_rank.py). Excludes port fees, border checks, importer margin (BP15)</t>
        </is>
      </c>
    </row>
    <row r="14">
      <c r="A14" s="6" t="inlineStr">
        <is>
          <t>Operations</t>
        </is>
      </c>
      <c r="B14" s="7" t="n"/>
      <c r="C14" s="7" t="n"/>
      <c r="D14" s="7" t="n"/>
      <c r="E14" s="7" t="n"/>
    </row>
    <row r="15">
      <c r="A15" s="8" t="inlineStr">
        <is>
          <t>Labour rate incl. on-costs</t>
        </is>
      </c>
      <c r="B15" s="15" t="n">
        <v>15</v>
      </c>
      <c r="C15" s="8" t="inlineStr">
        <is>
          <t>GBP/h</t>
        </is>
      </c>
      <c r="D15" s="8" t="inlineStr">
        <is>
          <t>estimate</t>
        </is>
      </c>
      <c r="E15" s="4" t="inlineStr">
        <is>
          <t>UK National Living Wage £12.21/h (Apr 2025) + ~20 % on-costs (input_register: pending)</t>
        </is>
      </c>
    </row>
    <row r="16">
      <c r="A16" s="8" t="inlineStr">
        <is>
          <t>Labour per m² growing area</t>
        </is>
      </c>
      <c r="B16" s="16" t="n">
        <v>0.8</v>
      </c>
      <c r="C16" s="8" t="inlineStr">
        <is>
          <t>h/m²/yr</t>
        </is>
      </c>
      <c r="D16" s="8" t="inlineStr">
        <is>
          <t>estimate</t>
        </is>
      </c>
      <c r="E16" s="4" t="inlineStr">
        <is>
          <t>Glasshouse fruit veg 0.75-1.0 h/m²/yr; KWIN/AHDB to source. Flat per m² with scale (RaboResearch 2025 fig. 6: Dutch m² per work unit stable)</t>
        </is>
      </c>
    </row>
    <row r="17">
      <c r="A17" s="8" t="inlineStr">
        <is>
          <t>CO2 (bulk liquid, delivered)</t>
        </is>
      </c>
      <c r="B17" s="15" t="n">
        <v>0.25</v>
      </c>
      <c r="C17" s="8" t="inlineStr">
        <is>
          <t>GBP/kg</t>
        </is>
      </c>
      <c r="D17" s="8" t="inlineStr">
        <is>
          <t>sourced (secondary)</t>
        </is>
      </c>
      <c r="E17" s="4" t="inlineStr">
        <is>
          <t>breakeven.py; distillery fermentation CO2 could be ~free (lever)</t>
        </is>
      </c>
    </row>
    <row r="18">
      <c r="A18" s="8" t="inlineStr">
        <is>
          <t>Young plants</t>
        </is>
      </c>
      <c r="B18" s="15" t="n">
        <v>3.5</v>
      </c>
      <c r="C18" s="8" t="inlineStr">
        <is>
          <t>GBP/m²/yr</t>
        </is>
      </c>
      <c r="D18" s="8" t="inlineStr">
        <is>
          <t>sourced (range)</t>
        </is>
      </c>
      <c r="E18" s="4" t="inlineStr">
        <is>
          <t>cashflow.py: three crops/yr; tomato GBP 1.61-6.4/m² range (J. Cleaner Prod. 2022; KWIN 2023)</t>
        </is>
      </c>
    </row>
    <row r="19">
      <c r="A19" s="8" t="inlineStr">
        <is>
          <t>Substrate</t>
        </is>
      </c>
      <c r="B19" s="15" t="n">
        <v>0.75</v>
      </c>
      <c r="C19" s="8" t="inlineStr">
        <is>
          <t>GBP/m²/yr</t>
        </is>
      </c>
      <c r="D19" s="8" t="inlineStr">
        <is>
          <t>sourced</t>
        </is>
      </c>
      <c r="E19" s="4" t="inlineStr">
        <is>
          <t>KWIN 2023 growing media EUR 0.86/m²</t>
        </is>
      </c>
    </row>
    <row r="20">
      <c r="A20" s="8" t="inlineStr">
        <is>
          <t>Fertiliser, crop protection, strings, water</t>
        </is>
      </c>
      <c r="B20" s="15" t="n">
        <v>2</v>
      </c>
      <c r="C20" s="8" t="inlineStr">
        <is>
          <t>GBP/m²/yr</t>
        </is>
      </c>
      <c r="D20" s="8" t="inlineStr">
        <is>
          <t>sourced (secondary)</t>
        </is>
      </c>
      <c r="E20" s="4" t="inlineStr">
        <is>
          <t>J. Cleaner Production 2022 UK tomato GBP 2.27-2.48/m²; cucumber without bumblebees</t>
        </is>
      </c>
    </row>
    <row r="21">
      <c r="A21" s="8" t="inlineStr">
        <is>
          <t>Packing</t>
        </is>
      </c>
      <c r="B21" s="14" t="n">
        <v>0.1</v>
      </c>
      <c r="C21" s="8" t="inlineStr">
        <is>
          <t>GBP/kg</t>
        </is>
      </c>
      <c r="D21" s="8" t="inlineStr">
        <is>
          <t>estimate</t>
        </is>
      </c>
      <c r="E21" s="4" t="inlineStr">
        <is>
          <t>Packhouse, film, carton (crops.py); to source</t>
        </is>
      </c>
    </row>
    <row r="22">
      <c r="A22" s="8" t="inlineStr">
        <is>
          <t>Structure O&amp;M + insurance</t>
        </is>
      </c>
      <c r="B22" s="10" t="n">
        <v>0.02</v>
      </c>
      <c r="C22" s="8" t="inlineStr">
        <is>
          <t>of structure capex /yr</t>
        </is>
      </c>
      <c r="D22" s="8" t="inlineStr">
        <is>
          <t>estimate</t>
        </is>
      </c>
      <c r="E22" s="4" t="inlineStr">
        <is>
          <t>breakeven.py</t>
        </is>
      </c>
    </row>
    <row r="23">
      <c r="A23" s="8" t="inlineStr">
        <is>
          <t>Overheads (management, certification, accounts)</t>
        </is>
      </c>
      <c r="B23" s="15" t="n">
        <v>3</v>
      </c>
      <c r="C23" s="8" t="inlineStr">
        <is>
          <t>GBP/m²/yr</t>
        </is>
      </c>
      <c r="D23" s="8" t="inlineStr">
        <is>
          <t>placeholder</t>
        </is>
      </c>
      <c r="E23" s="4" t="inlineStr">
        <is>
          <t>No UK source; BritFarmers 2026 puts retailer compliance at £8-50k/yr, inside this</t>
        </is>
      </c>
    </row>
    <row r="24">
      <c r="A24" s="8" t="inlineStr">
        <is>
          <t>Land rent</t>
        </is>
      </c>
      <c r="B24" s="17" t="n">
        <v>1000</v>
      </c>
      <c r="C24" s="8" t="inlineStr">
        <is>
          <t>GBP/ha/yr</t>
        </is>
      </c>
      <c r="D24" s="8" t="inlineStr">
        <is>
          <t>placeholder</t>
        </is>
      </c>
      <c r="E24" s="4" t="inlineStr">
        <is>
          <t>Scottish arable ~£250-500/ha; industrial land more</t>
        </is>
      </c>
    </row>
    <row r="25">
      <c r="A25" s="8" t="inlineStr">
        <is>
          <t>Extra land for access, packhouse, plant</t>
        </is>
      </c>
      <c r="B25" s="10" t="n">
        <v>0.3</v>
      </c>
      <c r="C25" s="8" t="inlineStr">
        <is>
          <t>of glass area</t>
        </is>
      </c>
      <c r="D25" s="8" t="inlineStr">
        <is>
          <t>estimate</t>
        </is>
      </c>
      <c r="E25" s="4" t="inlineStr">
        <is>
          <t>cashflow.py</t>
        </is>
      </c>
    </row>
    <row r="26">
      <c r="A26" s="6" t="inlineStr">
        <is>
          <t>Project</t>
        </is>
      </c>
      <c r="B26" s="7" t="n"/>
      <c r="C26" s="7" t="n"/>
      <c r="D26" s="7" t="n"/>
      <c r="E26" s="7" t="n"/>
    </row>
    <row r="27">
      <c r="A27" s="8" t="inlineStr">
        <is>
          <t>Development (design, planning, legal, site investigation)</t>
        </is>
      </c>
      <c r="B27" s="10" t="n">
        <v>0.05</v>
      </c>
      <c r="C27" s="8" t="inlineStr">
        <is>
          <t>of capex</t>
        </is>
      </c>
      <c r="D27" s="8" t="inlineStr">
        <is>
          <t>estimate</t>
        </is>
      </c>
      <c r="E27" s="4" t="inlineStr">
        <is>
          <t>Feasibility-stage allowance</t>
        </is>
      </c>
    </row>
    <row r="28">
      <c r="A28" s="8" t="inlineStr">
        <is>
          <t>Contingency</t>
        </is>
      </c>
      <c r="B28" s="10" t="n">
        <v>0.1</v>
      </c>
      <c r="C28" s="8" t="inlineStr">
        <is>
          <t>of capex</t>
        </is>
      </c>
      <c r="D28" s="8" t="inlineStr">
        <is>
          <t>estimate</t>
        </is>
      </c>
      <c r="E28" s="4" t="inlineStr">
        <is>
          <t>Class 4 estimate (±30 %)</t>
        </is>
      </c>
    </row>
    <row r="29">
      <c r="A29" s="8" t="inlineStr">
        <is>
          <t>HV import connection (11 kV)</t>
        </is>
      </c>
      <c r="B29" s="17" t="n">
        <v>150000</v>
      </c>
      <c r="C29" s="8" t="inlineStr">
        <is>
          <t>GBP</t>
        </is>
      </c>
      <c r="D29" s="8" t="inlineStr">
        <is>
          <t>sourced (range)</t>
        </is>
      </c>
      <c r="E29" s="4" t="inlineStr">
        <is>
          <t>£50-150k near a substation (solargridcheck.co.uk G99 guide 2026); upper end. Should scale with kVA (BP16)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0" customWidth="1" min="6" max="6"/>
    <col width="16" customWidth="1" min="7" max="7"/>
    <col width="22" customWidth="1" min="8" max="8"/>
    <col width="80" customWidth="1" min="9" max="9"/>
  </cols>
  <sheetData>
    <row r="1">
      <c r="A1" s="1" t="inlineStr">
        <is>
          <t>Unit rates</t>
        </is>
      </c>
    </row>
    <row r="2">
      <c r="A2" s="2" t="inlineStr">
        <is>
          <t>Central rate drives the model; low/high are the quote range. Replace with supplier quotes.</t>
        </is>
      </c>
    </row>
    <row r="4" ht="30" customHeight="1">
      <c r="A4" s="5" t="inlineStr">
        <is>
          <t>Item</t>
        </is>
      </c>
      <c r="B4" s="5" t="inlineStr">
        <is>
          <t>Unit</t>
        </is>
      </c>
      <c r="C4" s="5" t="inlineStr">
        <is>
          <t>Low</t>
        </is>
      </c>
      <c r="D4" s="5" t="inlineStr">
        <is>
          <t>Central</t>
        </is>
      </c>
      <c r="E4" s="5" t="inlineStr">
        <is>
          <t>High</t>
        </is>
      </c>
      <c r="F4" s="5" t="inlineStr">
        <is>
          <t>Life (yr)</t>
        </is>
      </c>
      <c r="G4" s="5" t="inlineStr">
        <is>
          <t>Cost driver</t>
        </is>
      </c>
      <c r="H4" s="5" t="inlineStr">
        <is>
          <t>Tier</t>
        </is>
      </c>
      <c r="I4" s="5" t="inlineStr">
        <is>
          <t>Source</t>
        </is>
      </c>
    </row>
    <row r="5">
      <c r="A5" s="6" t="inlineStr">
        <is>
          <t>Structure (quantities x rate)</t>
        </is>
      </c>
      <c r="B5" s="7" t="n"/>
      <c r="C5" s="7" t="n"/>
      <c r="D5" s="7" t="n"/>
      <c r="E5" s="7" t="n"/>
      <c r="F5" s="7" t="n"/>
      <c r="G5" s="7" t="n"/>
      <c r="H5" s="7" t="n"/>
      <c r="I5" s="7" t="n"/>
    </row>
    <row r="6">
      <c r="A6" s="8" t="inlineStr">
        <is>
          <t>Steel frame, erected</t>
        </is>
      </c>
      <c r="B6" s="8" t="inlineStr">
        <is>
          <t>t</t>
        </is>
      </c>
      <c r="C6" s="18" t="n"/>
      <c r="D6" s="15" t="n">
        <v>4890</v>
      </c>
      <c r="E6" s="18" t="n"/>
      <c r="F6" s="11" t="n">
        <v>30</v>
      </c>
      <c r="G6" s="8" t="inlineStr">
        <is>
          <t>per t (from frame sizing)</t>
        </is>
      </c>
      <c r="H6" s="8" t="inlineStr">
        <is>
          <t>industry cost model</t>
        </is>
      </c>
      <c r="I6" s="4" t="inlineStr">
        <is>
          <t>BCIS frame cost model via SteelConstruction.info 'Cost of structural steelwork': GBP 158-191/m2 GIFA at 55 kg/m2 steel (index 100) x BCIS steel index Q1 2025 154.2 -&gt; GBP/t erected</t>
        </is>
      </c>
    </row>
    <row r="7">
      <c r="A7" s="8" t="inlineStr">
        <is>
          <t>Aluminium glazing bars</t>
        </is>
      </c>
      <c r="B7" s="8" t="inlineStr">
        <is>
          <t>kg</t>
        </is>
      </c>
      <c r="C7" s="15" t="n">
        <v>4</v>
      </c>
      <c r="D7" s="15" t="n">
        <v>6</v>
      </c>
      <c r="E7" s="15" t="n">
        <v>9</v>
      </c>
      <c r="F7" s="11" t="n">
        <v>30</v>
      </c>
      <c r="G7" s="8" t="inlineStr">
        <is>
          <t>per kg (per m of bar)</t>
        </is>
      </c>
      <c r="H7" s="8" t="inlineStr">
        <is>
          <t>needs quote (placeholder)</t>
        </is>
      </c>
      <c r="I7" s="4" t="inlineStr">
        <is>
          <t>Glazing bars / cushion extrusions; no public project-scale price found. Placeholder range 4-9 GBP/kg</t>
        </is>
      </c>
    </row>
    <row r="8">
      <c r="A8" s="8" t="inlineStr">
        <is>
          <t>Glass, single 4 mm 2xAR</t>
        </is>
      </c>
      <c r="B8" s="8" t="inlineStr">
        <is>
          <t>m²</t>
        </is>
      </c>
      <c r="C8" s="15" t="n">
        <v>15</v>
      </c>
      <c r="D8" s="19" t="n">
        <v>25</v>
      </c>
      <c r="E8" s="15" t="n">
        <v>40</v>
      </c>
      <c r="F8" s="11" t="n">
        <v>30</v>
      </c>
      <c r="G8" s="8" t="inlineStr">
        <is>
          <t>per m² glazed</t>
        </is>
      </c>
      <c r="H8" s="8" t="inlineStr">
        <is>
          <t>needs quote (placeholder)</t>
        </is>
      </c>
      <c r="I8" s="4" t="inlineStr">
        <is>
          <t>4 mm toughened 2xAR horticultural glass; public prices are retail panes (~GBP 70/m2), not project scale. Placeholder range 15-40</t>
        </is>
      </c>
    </row>
    <row r="9">
      <c r="A9" s="8" t="inlineStr">
        <is>
          <t>Glass, double AR sealed unit</t>
        </is>
      </c>
      <c r="B9" s="8" t="inlineStr">
        <is>
          <t>m²</t>
        </is>
      </c>
      <c r="C9" s="15" t="n">
        <v>45</v>
      </c>
      <c r="D9" s="19" t="n">
        <v>65</v>
      </c>
      <c r="E9" s="15" t="n">
        <v>100</v>
      </c>
      <c r="F9" s="11" t="n">
        <v>30</v>
      </c>
      <c r="G9" s="8" t="inlineStr">
        <is>
          <t>per m² glazed</t>
        </is>
      </c>
      <c r="H9" s="8" t="inlineStr">
        <is>
          <t>needs quote (placeholder)</t>
        </is>
      </c>
      <c r="I9" s="4" t="inlineStr">
        <is>
          <t>Double AR sealed unit; placeholder range 45-100</t>
        </is>
      </c>
    </row>
    <row r="10">
      <c r="A10" s="8" t="inlineStr">
        <is>
          <t>Glass, double AR + low-e</t>
        </is>
      </c>
      <c r="B10" s="8" t="inlineStr">
        <is>
          <t>m²</t>
        </is>
      </c>
      <c r="C10" s="15" t="n">
        <v>50</v>
      </c>
      <c r="D10" s="19" t="n">
        <v>75</v>
      </c>
      <c r="E10" s="15" t="n">
        <v>120</v>
      </c>
      <c r="F10" s="11" t="n">
        <v>30</v>
      </c>
      <c r="G10" s="8" t="inlineStr">
        <is>
          <t>per m² glazed</t>
        </is>
      </c>
      <c r="H10" s="8" t="inlineStr">
        <is>
          <t>needs quote (placeholder)</t>
        </is>
      </c>
      <c r="I10" s="4" t="inlineStr">
        <is>
          <t>Double AR + low-e sealed unit for Venlo; no public price. Placeholder range 50-120</t>
        </is>
      </c>
    </row>
    <row r="11">
      <c r="A11" s="8" t="inlineStr">
        <is>
          <t>Concrete (pads, edge beam, paths)</t>
        </is>
      </c>
      <c r="B11" s="8" t="inlineStr">
        <is>
          <t>m³</t>
        </is>
      </c>
      <c r="C11" s="18" t="n"/>
      <c r="D11" s="15" t="n">
        <v>102</v>
      </c>
      <c r="E11" s="18" t="n"/>
      <c r="F11" s="11" t="n">
        <v>50</v>
      </c>
      <c r="G11" s="8" t="inlineStr">
        <is>
          <t>per m³</t>
        </is>
      </c>
      <c r="H11" s="8" t="inlineStr">
        <is>
          <t>trade price</t>
        </is>
      </c>
      <c r="I11" s="4" t="inlineStr">
        <is>
          <t>Scotland ready-mix RC30/C30/37 GBP 90-115/m3 (mixdesigncalc.co.uk trade price guide, 2025-26)</t>
        </is>
      </c>
    </row>
    <row r="12">
      <c r="A12" s="8" t="inlineStr">
        <is>
          <t>Heating pipe-rail (51 mm)</t>
        </is>
      </c>
      <c r="B12" s="8" t="inlineStr">
        <is>
          <t>m</t>
        </is>
      </c>
      <c r="C12" s="18" t="n"/>
      <c r="D12" s="15" t="n">
        <v>8</v>
      </c>
      <c r="E12" s="18" t="n"/>
      <c r="F12" s="11" t="n">
        <v>30</v>
      </c>
      <c r="G12" s="8" t="inlineStr">
        <is>
          <t>per m (2.25 m per m²)</t>
        </is>
      </c>
      <c r="H12" s="8" t="inlineStr">
        <is>
          <t>needs quote (placeholder)</t>
        </is>
      </c>
      <c r="I12" s="4" t="inlineStr">
        <is>
          <t>51 x 2.0 mm steel pipe-rail; placeholder</t>
        </is>
      </c>
    </row>
    <row r="13">
      <c r="A13" s="8" t="inlineStr">
        <is>
          <t>Energy screen incl. drive</t>
        </is>
      </c>
      <c r="B13" s="8" t="inlineStr">
        <is>
          <t>m²</t>
        </is>
      </c>
      <c r="C13" s="18" t="n"/>
      <c r="D13" s="15" t="n">
        <v>6</v>
      </c>
      <c r="E13" s="18" t="n"/>
      <c r="F13" s="11" t="n">
        <v>10</v>
      </c>
      <c r="G13" s="8" t="inlineStr">
        <is>
          <t>per m² floor</t>
        </is>
      </c>
      <c r="H13" s="8" t="inlineStr">
        <is>
          <t>needs quote (placeholder)</t>
        </is>
      </c>
      <c r="I13" s="4" t="inlineStr">
        <is>
          <t>Energy screen cloth incl. drive; placeholder</t>
        </is>
      </c>
    </row>
    <row r="14">
      <c r="A14" s="8" t="inlineStr">
        <is>
          <t>Installation, climate computer, irrigation, vents, wires, design (residual)</t>
        </is>
      </c>
      <c r="B14" s="8" t="inlineStr">
        <is>
          <t>m²</t>
        </is>
      </c>
      <c r="D14" s="19" t="n">
        <v>94.40000000000001</v>
      </c>
      <c r="F14" s="11" t="n">
        <v>30</v>
      </c>
      <c r="G14" s="8" t="inlineStr">
        <is>
          <t>per m² floor (see 'Scale')</t>
        </is>
      </c>
      <c r="H14" s="8" t="inlineStr">
        <is>
          <t>calibrated</t>
        </is>
      </c>
      <c r="I14" s="4" t="inlineStr">
        <is>
          <t>SAC/SRUC (2026) 'Developing SME-scale CEA' Table 11: commercial glasshouse £2M/ha minus the itemised list for a 1 ha Venlo reference (costing.py). Not itemised: the biggest single capex item, the first target for an itemised RFQ.</t>
        </is>
      </c>
    </row>
    <row r="16">
      <c r="A16" s="6" t="inlineStr">
        <is>
          <t>Heat system</t>
        </is>
      </c>
      <c r="B16" s="7" t="n"/>
      <c r="C16" s="7" t="n"/>
      <c r="D16" s="7" t="n"/>
      <c r="E16" s="7" t="n"/>
      <c r="F16" s="7" t="n"/>
      <c r="G16" s="7" t="n"/>
      <c r="H16" s="7" t="n"/>
      <c r="I16" s="7" t="n"/>
    </row>
    <row r="17">
      <c r="A17" s="8" t="inlineStr">
        <is>
          <t>Heat pump (R717, air source), DEA cost curve</t>
        </is>
      </c>
      <c r="B17" s="8" t="inlineStr">
        <is>
          <t>MEUR/MW at 1 / 3 / 10 MW</t>
        </is>
      </c>
      <c r="C17" s="20" t="n">
        <v>1.15</v>
      </c>
      <c r="D17" s="20" t="n">
        <v>1.1</v>
      </c>
      <c r="E17" s="20" t="n">
        <v>1.02</v>
      </c>
      <c r="F17" s="11" t="n">
        <v>25</v>
      </c>
      <c r="G17" s="8" t="inlineStr">
        <is>
          <t>per kW, log-interpolated by size</t>
        </is>
      </c>
      <c r="H17" s="8" t="inlineStr">
        <is>
          <t>sourced</t>
        </is>
      </c>
      <c r="I17" s="4" t="inlineStr">
        <is>
          <t>Danish Energy Agency, Technology Data for Generation of Electricity and District Heating, ch. 40 'Comp. hp, airsource 1/3/10 MW', Aug 2026 data sheets, total investment (2030 column used by site_opt.py). Note P: +15 % for 40-80 °C supply temperatures (not applied)</t>
        </is>
      </c>
    </row>
    <row r="18">
      <c r="A18" s="8" t="inlineStr">
        <is>
          <t>Heat pump fixed O&amp;M</t>
        </is>
      </c>
      <c r="B18" s="8" t="inlineStr">
        <is>
          <t>EUR/MW/yr</t>
        </is>
      </c>
      <c r="D18" s="11" t="n">
        <v>2126.745</v>
      </c>
      <c r="H18" s="8" t="inlineStr">
        <is>
          <t>sourced</t>
        </is>
      </c>
      <c r="I18" s="8" t="inlineStr">
        <is>
          <t>DEA ch. 40 airsource 1 MW, fixed O&amp;M</t>
        </is>
      </c>
    </row>
    <row r="19">
      <c r="A19" s="8" t="inlineStr">
        <is>
          <t>Electric peak boiler</t>
        </is>
      </c>
      <c r="B19" s="8" t="inlineStr">
        <is>
          <t>MEUR/MW</t>
        </is>
      </c>
      <c r="D19" s="21" t="n">
        <v>0.15457</v>
      </c>
      <c r="F19" s="11" t="n">
        <v>25</v>
      </c>
      <c r="G19" s="8" t="inlineStr">
        <is>
          <t>per kW</t>
        </is>
      </c>
      <c r="H19" s="8" t="inlineStr">
        <is>
          <t>sourced</t>
        </is>
      </c>
      <c r="I19" s="4" t="inlineStr">
        <is>
          <t>DEA ch. 41 'Electric boiler, small': total investment 0.155 MEUR/MW (equipment 0.087 + installation 0.067), efficiency 0.99. About 7x cheaper per kW than the heat pump: the cheap way to cover the few peak hours (Stanghellini et al. 2019/2023, Greenhouse Horticulture, §8.9 eq. 8.14 and fig. 8.14)</t>
        </is>
      </c>
    </row>
    <row r="20">
      <c r="A20" s="8" t="inlineStr">
        <is>
          <t>Electric boiler fixed O&amp;M</t>
        </is>
      </c>
      <c r="B20" s="8" t="inlineStr">
        <is>
          <t>EUR/MW/yr</t>
        </is>
      </c>
      <c r="D20" s="11" t="n">
        <v>1137.8</v>
      </c>
      <c r="H20" s="8" t="inlineStr">
        <is>
          <t>sourced</t>
        </is>
      </c>
      <c r="I20" s="8" t="inlineStr">
        <is>
          <t>DEA ch. 41</t>
        </is>
      </c>
    </row>
    <row r="21">
      <c r="A21" s="8" t="inlineStr">
        <is>
          <t>Hot-water store (buffer tank)</t>
        </is>
      </c>
      <c r="B21" s="8" t="inlineStr">
        <is>
          <t>GBP/kWh stored</t>
        </is>
      </c>
      <c r="D21" s="15" t="n">
        <v>26.44</v>
      </c>
      <c r="F21" s="11" t="n">
        <v>40</v>
      </c>
      <c r="G21" s="8" t="inlineStr">
        <is>
          <t>per kWh capacity</t>
        </is>
      </c>
      <c r="H21" s="8" t="inlineStr">
        <is>
          <t>sourced</t>
        </is>
      </c>
      <c r="I21" s="4" t="inlineStr">
        <is>
          <t>DEA Technology Data for Energy Storage, hot-water tank, at 4.2 MWh (finalist_lp.py; size-dependent). Buffer lowers peak plant: Stanghellini et al. §8.8 (25 W/m² store + 50 W/m² boiler = 75 W/m²)</t>
        </is>
      </c>
    </row>
    <row r="22">
      <c r="A22" s="8" t="inlineStr">
        <is>
          <t>Hot-water store O&amp;M</t>
        </is>
      </c>
      <c r="B22" s="8" t="inlineStr">
        <is>
          <t>EUR2015/MWh/yr</t>
        </is>
      </c>
      <c r="D22" s="22" t="n">
        <v>8.6</v>
      </c>
      <c r="H22" s="8" t="inlineStr">
        <is>
          <t>sourced</t>
        </is>
      </c>
      <c r="I22" s="8" t="inlineStr">
        <is>
          <t>DEA storage; x1.2876 to 2025 EUR (finalist_lp.py)</t>
        </is>
      </c>
    </row>
    <row r="24">
      <c r="A24" s="6" t="inlineStr">
        <is>
          <t>Energy route</t>
        </is>
      </c>
      <c r="B24" s="7" t="n"/>
      <c r="C24" s="7" t="n"/>
      <c r="D24" s="7" t="n"/>
      <c r="E24" s="7" t="n"/>
      <c r="F24" s="7" t="n"/>
      <c r="G24" s="7" t="n"/>
      <c r="H24" s="7" t="n"/>
      <c r="I24" s="7" t="n"/>
    </row>
    <row r="25">
      <c r="A25" s="8" t="inlineStr">
        <is>
          <t>Owned turbine size</t>
        </is>
      </c>
      <c r="B25" s="8" t="inlineStr">
        <is>
          <t>kW</t>
        </is>
      </c>
      <c r="D25" s="11" t="n">
        <v>2500</v>
      </c>
      <c r="I25" s="4" t="inlineStr">
        <is>
          <t>Single 2.5 MW turbine (energy_grid own_2p5MW)</t>
        </is>
      </c>
    </row>
    <row r="26">
      <c r="A26" s="8" t="inlineStr">
        <is>
          <t>Turbine capex</t>
        </is>
      </c>
      <c r="B26" s="8" t="inlineStr">
        <is>
          <t>GBP/kW</t>
        </is>
      </c>
      <c r="D26" s="17" t="n">
        <v>2240</v>
      </c>
      <c r="I26" s="4" t="inlineStr">
        <is>
          <t>Kilbirnie 2.5 MW community turbine, N. Ayrshire, £5.6M (Envirotec, 5 Mar 2026)</t>
        </is>
      </c>
    </row>
    <row r="27">
      <c r="A27" s="8" t="inlineStr">
        <is>
          <t>Turbine export connection allowance</t>
        </is>
      </c>
      <c r="B27" s="8" t="inlineStr">
        <is>
          <t>GBP</t>
        </is>
      </c>
      <c r="D27" s="17" t="n">
        <v>300000</v>
      </c>
      <c r="I27" s="4" t="inlineStr">
        <is>
          <t>33 kV £0.3-1.0M, 11 kV £50-150k (solargridcheck.co.uk 2026)</t>
        </is>
      </c>
    </row>
    <row r="28">
      <c r="A28" s="8" t="inlineStr">
        <is>
          <t>Turbine O&amp;M</t>
        </is>
      </c>
      <c r="B28" s="8" t="inlineStr">
        <is>
          <t>GBP/kW/yr</t>
        </is>
      </c>
      <c r="D28" s="22" t="n">
        <v>21.06</v>
      </c>
      <c r="I28" s="4" t="inlineStr">
        <is>
          <t>Arup (2025) for DESNZ, Table 18: £19.5k/MW/a (2023 £) x1.08</t>
        </is>
      </c>
    </row>
    <row r="29">
      <c r="A29" s="8" t="inlineStr">
        <is>
          <t>Turbine generation</t>
        </is>
      </c>
      <c r="B29" s="8" t="inlineStr">
        <is>
          <t>MWh/yr</t>
        </is>
      </c>
      <c r="D29" s="11" t="n">
        <v>9044.700000000001</v>
      </c>
      <c r="I29" s="4" t="inlineStr">
        <is>
          <t>Model: Global Wind Atlas at the site, capacity factor capped at 41.3 % (Arup 2025 Table 22)</t>
        </is>
      </c>
    </row>
    <row r="30">
      <c r="A30" s="8" t="inlineStr">
        <is>
          <t>Turbine life (repowered once in 30 yr)</t>
        </is>
      </c>
      <c r="B30" s="8" t="inlineStr">
        <is>
          <t>yr</t>
        </is>
      </c>
      <c r="D30" s="11" t="n">
        <v>20</v>
      </c>
      <c r="I30" s="4" t="inlineStr">
        <is>
          <t>Arup (2025)</t>
        </is>
      </c>
    </row>
    <row r="31">
      <c r="A31" s="8" t="inlineStr">
        <is>
          <t>Export PPA price for surplus</t>
        </is>
      </c>
      <c r="B31" s="8" t="inlineStr">
        <is>
          <t>GBP/MWh</t>
        </is>
      </c>
      <c r="D31" s="17" t="n">
        <v>60</v>
      </c>
      <c r="I31" s="4" t="inlineStr">
        <is>
          <t>~£70/MWh fair value (Veyt 2025) less ~£10 route-to-market (estimate)</t>
        </is>
      </c>
    </row>
    <row r="32">
      <c r="A32" s="8" t="inlineStr">
        <is>
          <t>Private-wire PPA price</t>
        </is>
      </c>
      <c r="B32" s="8" t="inlineStr">
        <is>
          <t>GBP/MWh</t>
        </is>
      </c>
      <c r="D32" s="23" t="n">
        <v>90</v>
      </c>
      <c r="I32" s="4" t="inlineStr">
        <is>
          <t>Savills 2025: £80-120/MWh delivered; low end (energy_grid private_wire). Needs a wind farm within a few km (Girvan: 16 large turbines within 3.1 km)</t>
        </is>
      </c>
    </row>
    <row r="33">
      <c r="A33" s="8" t="inlineStr">
        <is>
          <t>Private-wire connection capex (if paid by us)</t>
        </is>
      </c>
      <c r="B33" s="8" t="inlineStr">
        <is>
          <t>GBP</t>
        </is>
      </c>
      <c r="D33" s="17" t="n">
        <v>0</v>
      </c>
      <c r="I33" s="4" t="inlineStr">
        <is>
          <t>Not costed in the model (placeholder 0); typically a few £100k per km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7" customWidth="1" min="3" max="3"/>
    <col width="17" customWidth="1" min="4" max="4"/>
    <col width="17" customWidth="1" min="5" max="5"/>
    <col width="17" customWidth="1" min="6" max="6"/>
    <col width="17" customWidth="1" min="7" max="7"/>
    <col width="70" customWidth="1" min="8" max="8"/>
  </cols>
  <sheetData>
    <row r="1">
      <c r="A1" s="1" t="inlineStr">
        <is>
          <t>Design scenarios: physical quantities from the simulation</t>
        </is>
      </c>
    </row>
    <row r="2">
      <c r="A2" s="2" t="inlineStr">
        <is>
          <t>Blue values are model outputs (site_opt.evaluate, track B lead design, Stranraer location, 2023 weather).</t>
        </is>
      </c>
    </row>
    <row r="4" ht="30" customHeight="1">
      <c r="A4" s="5" t="inlineStr">
        <is>
          <t>Quantity</t>
        </is>
      </c>
      <c r="B4" s="5" t="inlineStr">
        <is>
          <t>Unit</t>
        </is>
      </c>
      <c r="C4" s="5" t="inlineStr">
        <is>
          <t>S0</t>
        </is>
      </c>
      <c r="D4" s="5" t="inlineStr">
        <is>
          <t>S1</t>
        </is>
      </c>
      <c r="E4" s="5" t="inlineStr">
        <is>
          <t>S2</t>
        </is>
      </c>
      <c r="F4" s="5" t="inlineStr">
        <is>
          <t>S3</t>
        </is>
      </c>
      <c r="G4" s="5" t="inlineStr">
        <is>
          <t>S4</t>
        </is>
      </c>
      <c r="H4" s="5" t="inlineStr">
        <is>
          <t>Note</t>
        </is>
      </c>
    </row>
    <row r="5" ht="64" customHeight="1">
      <c r="A5" s="8" t="inlineStr">
        <is>
          <t>Description</t>
        </is>
      </c>
      <c r="C5" s="4" t="inlineStr">
        <is>
          <t>Today: double AR glass, heat pump 69 % + 4.2 MWh store, owned 2.5 MW turbine</t>
        </is>
      </c>
      <c r="D5" s="4" t="inlineStr">
        <is>
          <t>Double AR glass, LP-sized heat pump + peak boiler + store, owned turbine</t>
        </is>
      </c>
      <c r="E5" s="4" t="inlineStr">
        <is>
          <t>Single glass, LP-sized heat pump + peak boiler + store, owned turbine</t>
        </is>
      </c>
      <c r="F5" s="4" t="inlineStr">
        <is>
          <t>Single glass, LP-sized heat pump + peak boiler + store, private-wire PPA (no turbine)</t>
        </is>
      </c>
      <c r="G5" s="4" t="inlineStr">
        <is>
          <t>Double AR glass, LP-sized heat pump + peak boiler + store, private-wire PPA (no turbine)</t>
        </is>
      </c>
    </row>
    <row r="6">
      <c r="A6" s="6" t="inlineStr">
        <is>
          <t>Design</t>
        </is>
      </c>
      <c r="B6" s="7" t="n"/>
      <c r="C6" s="7" t="n"/>
      <c r="D6" s="7" t="n"/>
      <c r="E6" s="7" t="n"/>
      <c r="F6" s="7" t="n"/>
      <c r="G6" s="7" t="n"/>
      <c r="H6" s="7" t="n"/>
    </row>
    <row r="7">
      <c r="A7" s="8" t="inlineStr">
        <is>
          <t>Glazing</t>
        </is>
      </c>
      <c r="B7" s="8" t="inlineStr">
        <is>
          <t>-</t>
        </is>
      </c>
      <c r="C7" s="8" t="inlineStr">
        <is>
          <t>Double AR</t>
        </is>
      </c>
      <c r="D7" s="8" t="inlineStr">
        <is>
          <t>Double AR</t>
        </is>
      </c>
      <c r="E7" s="8" t="inlineStr">
        <is>
          <t>Single 2xAR</t>
        </is>
      </c>
      <c r="F7" s="8" t="inlineStr">
        <is>
          <t>Single 2xAR</t>
        </is>
      </c>
      <c r="G7" s="8" t="inlineStr">
        <is>
          <t>Double AR</t>
        </is>
      </c>
      <c r="H7" s="4" t="inlineStr"/>
    </row>
    <row r="8">
      <c r="A8" s="8" t="inlineStr">
        <is>
          <t>Owns the 2.5 MW turbine (1 = yes)</t>
        </is>
      </c>
      <c r="B8" s="8" t="inlineStr">
        <is>
          <t>flag</t>
        </is>
      </c>
      <c r="C8" s="11" t="n">
        <v>1</v>
      </c>
      <c r="D8" s="11" t="n">
        <v>1</v>
      </c>
      <c r="E8" s="11" t="n">
        <v>1</v>
      </c>
      <c r="F8" s="11" t="n">
        <v>0</v>
      </c>
      <c r="G8" s="11" t="n">
        <v>0</v>
      </c>
      <c r="H8" s="4" t="inlineStr"/>
    </row>
    <row r="9">
      <c r="A9" s="8" t="inlineStr">
        <is>
          <t>Glasshouse floor area</t>
        </is>
      </c>
      <c r="B9" s="8" t="inlineStr">
        <is>
          <t>m²</t>
        </is>
      </c>
      <c r="C9" s="11" t="n">
        <v>9999.999999999998</v>
      </c>
      <c r="D9" s="11" t="n">
        <v>9999.999999999998</v>
      </c>
      <c r="E9" s="11" t="n">
        <v>9999.999999999998</v>
      </c>
      <c r="F9" s="11" t="n">
        <v>9999.999999999998</v>
      </c>
      <c r="G9" s="11" t="n">
        <v>9999.999999999998</v>
      </c>
      <c r="H9" s="4" t="inlineStr">
        <is>
          <t>4 spans x 15.4 m x 162 m, gutter 4.64 m</t>
        </is>
      </c>
    </row>
    <row r="10">
      <c r="A10" s="8" t="inlineStr">
        <is>
          <t>Growing share of floor (paths excluded)</t>
        </is>
      </c>
      <c r="B10" s="8" t="inlineStr">
        <is>
          <t>-</t>
        </is>
      </c>
      <c r="C10" s="10" t="n">
        <v>0.9399999999999999</v>
      </c>
      <c r="D10" s="10" t="n">
        <v>0.9399999999999999</v>
      </c>
      <c r="E10" s="10" t="n">
        <v>0.9399999999999999</v>
      </c>
      <c r="F10" s="10" t="n">
        <v>0.9399999999999999</v>
      </c>
      <c r="G10" s="10" t="n">
        <v>0.9399999999999999</v>
      </c>
      <c r="H10" s="4" t="inlineStr"/>
    </row>
    <row r="11">
      <c r="A11" s="8" t="inlineStr">
        <is>
          <t>Perimeter</t>
        </is>
      </c>
      <c r="B11" s="8" t="inlineStr">
        <is>
          <t>m</t>
        </is>
      </c>
      <c r="C11" s="11" t="n">
        <v>447.5633881085005</v>
      </c>
      <c r="D11" s="11" t="n">
        <v>447.5633881085005</v>
      </c>
      <c r="E11" s="11" t="n">
        <v>447.5633881085005</v>
      </c>
      <c r="F11" s="11" t="n">
        <v>447.5633881085005</v>
      </c>
      <c r="G11" s="11" t="n">
        <v>447.5633881085005</v>
      </c>
      <c r="H11" s="4" t="inlineStr"/>
    </row>
    <row r="12">
      <c r="A12" s="8" t="inlineStr">
        <is>
          <t>Glazed area (roof + walls)</t>
        </is>
      </c>
      <c r="B12" s="8" t="inlineStr">
        <is>
          <t>m²</t>
        </is>
      </c>
      <c r="C12" s="11" t="n">
        <v>12343.19482173453</v>
      </c>
      <c r="D12" s="11" t="n">
        <v>12343.19482173453</v>
      </c>
      <c r="E12" s="11" t="n">
        <v>12343.19482173453</v>
      </c>
      <c r="F12" s="11" t="n">
        <v>12343.19482173453</v>
      </c>
      <c r="G12" s="11" t="n">
        <v>12343.19482173453</v>
      </c>
      <c r="H12" s="4" t="inlineStr"/>
    </row>
    <row r="13">
      <c r="A13" s="6" t="inlineStr">
        <is>
          <t>Bill of quantities (costing.bill)</t>
        </is>
      </c>
      <c r="B13" s="7" t="n"/>
      <c r="C13" s="7" t="n"/>
      <c r="D13" s="7" t="n"/>
      <c r="E13" s="7" t="n"/>
      <c r="F13" s="7" t="n"/>
      <c r="G13" s="7" t="n"/>
      <c r="H13" s="7" t="n"/>
    </row>
    <row r="14">
      <c r="A14" s="8" t="inlineStr">
        <is>
          <t>Steel</t>
        </is>
      </c>
      <c r="B14" s="8" t="inlineStr">
        <is>
          <t>t</t>
        </is>
      </c>
      <c r="C14" s="22" t="n">
        <v>68.30382327946297</v>
      </c>
      <c r="D14" s="22" t="n">
        <v>68.30382327946297</v>
      </c>
      <c r="E14" s="22" t="n">
        <v>64.05158025557164</v>
      </c>
      <c r="F14" s="22" t="n">
        <v>64.05158025557164</v>
      </c>
      <c r="G14" s="22" t="n">
        <v>68.30382327946297</v>
      </c>
      <c r="H14" s="4" t="inlineStr">
        <is>
          <t>Concept frame sizing (sizing.py, EN 13031-1 loads)</t>
        </is>
      </c>
    </row>
    <row r="15">
      <c r="A15" s="8" t="inlineStr">
        <is>
          <t>Aluminium</t>
        </is>
      </c>
      <c r="B15" s="8" t="inlineStr">
        <is>
          <t>kg</t>
        </is>
      </c>
      <c r="C15" s="11" t="n">
        <v>15799.2893718202</v>
      </c>
      <c r="D15" s="11" t="n">
        <v>15799.2893718202</v>
      </c>
      <c r="E15" s="11" t="n">
        <v>11849.46702886515</v>
      </c>
      <c r="F15" s="11" t="n">
        <v>11849.46702886515</v>
      </c>
      <c r="G15" s="11" t="n">
        <v>15799.2893718202</v>
      </c>
      <c r="H15" s="4" t="inlineStr"/>
    </row>
    <row r="16">
      <c r="A16" s="8" t="inlineStr">
        <is>
          <t>Glass</t>
        </is>
      </c>
      <c r="B16" s="8" t="inlineStr">
        <is>
          <t>m²</t>
        </is>
      </c>
      <c r="C16" s="11" t="n">
        <v>12343.19482173453</v>
      </c>
      <c r="D16" s="11" t="n">
        <v>12343.19482173453</v>
      </c>
      <c r="E16" s="11" t="n">
        <v>12343.19482173453</v>
      </c>
      <c r="F16" s="11" t="n">
        <v>12343.19482173453</v>
      </c>
      <c r="G16" s="11" t="n">
        <v>12343.19482173453</v>
      </c>
      <c r="H16" s="4" t="inlineStr"/>
    </row>
    <row r="17">
      <c r="A17" s="8" t="inlineStr">
        <is>
          <t>Concrete</t>
        </is>
      </c>
      <c r="B17" s="8" t="inlineStr">
        <is>
          <t>m³</t>
        </is>
      </c>
      <c r="C17" s="22" t="n">
        <v>299.9245621139189</v>
      </c>
      <c r="D17" s="22" t="n">
        <v>299.9245621139189</v>
      </c>
      <c r="E17" s="22" t="n">
        <v>289.3279477729204</v>
      </c>
      <c r="F17" s="22" t="n">
        <v>289.3279477729204</v>
      </c>
      <c r="G17" s="22" t="n">
        <v>299.9245621139189</v>
      </c>
      <c r="H17" s="4" t="inlineStr"/>
    </row>
    <row r="18">
      <c r="A18" s="8" t="inlineStr">
        <is>
          <t>Heating pipe</t>
        </is>
      </c>
      <c r="B18" s="8" t="inlineStr">
        <is>
          <t>m</t>
        </is>
      </c>
      <c r="C18" s="11" t="n">
        <v>22500</v>
      </c>
      <c r="D18" s="11" t="n">
        <v>22500</v>
      </c>
      <c r="E18" s="11" t="n">
        <v>22500</v>
      </c>
      <c r="F18" s="11" t="n">
        <v>22500</v>
      </c>
      <c r="G18" s="11" t="n">
        <v>22500</v>
      </c>
      <c r="H18" s="4" t="inlineStr"/>
    </row>
    <row r="19">
      <c r="A19" s="8" t="inlineStr">
        <is>
          <t>Energy screen</t>
        </is>
      </c>
      <c r="B19" s="8" t="inlineStr">
        <is>
          <t>m²</t>
        </is>
      </c>
      <c r="C19" s="11" t="n">
        <v>9999.999999999998</v>
      </c>
      <c r="D19" s="11" t="n">
        <v>9999.999999999998</v>
      </c>
      <c r="E19" s="11" t="n">
        <v>9999.999999999998</v>
      </c>
      <c r="F19" s="11" t="n">
        <v>9999.999999999998</v>
      </c>
      <c r="G19" s="11" t="n">
        <v>9999.999999999998</v>
      </c>
      <c r="H19" s="4" t="inlineStr"/>
    </row>
    <row r="20">
      <c r="A20" s="6" t="inlineStr">
        <is>
          <t>Heat system</t>
        </is>
      </c>
      <c r="B20" s="7" t="n"/>
      <c r="C20" s="7" t="n"/>
      <c r="D20" s="7" t="n"/>
      <c r="E20" s="7" t="n"/>
      <c r="F20" s="7" t="n"/>
      <c r="G20" s="7" t="n"/>
      <c r="H20" s="7" t="n"/>
    </row>
    <row r="21">
      <c r="A21" s="8" t="inlineStr">
        <is>
          <t>Design heat load (-3.1 °C outside)</t>
        </is>
      </c>
      <c r="B21" s="8" t="inlineStr">
        <is>
          <t>kW</t>
        </is>
      </c>
      <c r="C21" s="11" t="n">
        <v>1245.551574007905</v>
      </c>
      <c r="D21" s="11" t="n">
        <v>1245.551574007905</v>
      </c>
      <c r="E21" s="11" t="n">
        <v>2186.473315268729</v>
      </c>
      <c r="F21" s="11" t="n">
        <v>2186.473315268729</v>
      </c>
      <c r="G21" s="11" t="n">
        <v>1245.551574007905</v>
      </c>
      <c r="H21" s="4" t="inlineStr">
        <is>
          <t>Single glass loses ~75 % more heat</t>
        </is>
      </c>
    </row>
    <row r="22">
      <c r="A22" s="8" t="inlineStr">
        <is>
          <t>Heat pump capacity</t>
        </is>
      </c>
      <c r="B22" s="8" t="inlineStr">
        <is>
          <t>kW</t>
        </is>
      </c>
      <c r="C22" s="11" t="n">
        <v>856.5411960354764</v>
      </c>
      <c r="D22" s="11" t="n">
        <v>457.119995711113</v>
      </c>
      <c r="E22" s="11" t="n">
        <v>765.4388152026958</v>
      </c>
      <c r="F22" s="11" t="n">
        <v>836.9585785600077</v>
      </c>
      <c r="G22" s="11" t="n">
        <v>508.9450804783695</v>
      </c>
      <c r="H22" s="4" t="inlineStr">
        <is>
          <t>S0: LP-sized, floored to meet the 2010 winter with the store</t>
        </is>
      </c>
    </row>
    <row r="23">
      <c r="A23" s="8" t="inlineStr">
        <is>
          <t>Electric peak boiler</t>
        </is>
      </c>
      <c r="B23" s="8" t="inlineStr">
        <is>
          <t>kW</t>
        </is>
      </c>
      <c r="C23" s="11" t="n">
        <v>0</v>
      </c>
      <c r="D23" s="11" t="n">
        <v>788.4315782967924</v>
      </c>
      <c r="E23" s="11" t="n">
        <v>1421.034500066034</v>
      </c>
      <c r="F23" s="11" t="n">
        <v>1349.514736708722</v>
      </c>
      <c r="G23" s="11" t="n">
        <v>736.6064935295359</v>
      </c>
      <c r="H23" s="4" t="inlineStr">
        <is>
          <t>LP-sized with the heat pump and store (BP19a); boiler + heat pump = design load, so it is also the standby</t>
        </is>
      </c>
    </row>
    <row r="24">
      <c r="A24" s="8" t="inlineStr">
        <is>
          <t>Hot-water store</t>
        </is>
      </c>
      <c r="B24" s="8" t="inlineStr">
        <is>
          <t>kWh</t>
        </is>
      </c>
      <c r="C24" s="11" t="n">
        <v>4171.738068987012</v>
      </c>
      <c r="D24" s="11" t="n">
        <v>4182.138154423442</v>
      </c>
      <c r="E24" s="11" t="n">
        <v>13313.68666146636</v>
      </c>
      <c r="F24" s="11" t="n">
        <v>11974.9815777916</v>
      </c>
      <c r="G24" s="11" t="n">
        <v>4079.319036879331</v>
      </c>
      <c r="H24" s="4" t="inlineStr">
        <is>
          <t>LP-sized in every scenario (BP19a re-ran S1-S4 with the store)</t>
        </is>
      </c>
    </row>
    <row r="25">
      <c r="A25" s="8" t="inlineStr">
        <is>
          <t>Heat delivered</t>
        </is>
      </c>
      <c r="B25" s="8" t="inlineStr">
        <is>
          <t>MWh/yr</t>
        </is>
      </c>
      <c r="C25" s="11" t="n">
        <v>2838.413561513465</v>
      </c>
      <c r="D25" s="11" t="n">
        <v>2838.413561513465</v>
      </c>
      <c r="E25" s="11" t="n">
        <v>4940.420227143174</v>
      </c>
      <c r="F25" s="11" t="n">
        <v>4940.420227143174</v>
      </c>
      <c r="G25" s="11" t="n">
        <v>2838.413561513465</v>
      </c>
      <c r="H25" s="4" t="inlineStr"/>
    </row>
    <row r="26">
      <c r="A26" s="8" t="inlineStr">
        <is>
          <t xml:space="preserve">  of which from the boiler</t>
        </is>
      </c>
      <c r="B26" s="8" t="inlineStr">
        <is>
          <t>MWh/yr</t>
        </is>
      </c>
      <c r="C26" s="11" t="n">
        <v>0</v>
      </c>
      <c r="D26" s="11" t="n">
        <v>98.80463458956365</v>
      </c>
      <c r="E26" s="11" t="n">
        <v>180.5031232419636</v>
      </c>
      <c r="F26" s="11" t="n">
        <v>66.11431660357297</v>
      </c>
      <c r="G26" s="11" t="n">
        <v>41.58613090049051</v>
      </c>
      <c r="H26" s="4" t="inlineStr"/>
    </row>
    <row r="27">
      <c r="A27" s="6" t="inlineStr">
        <is>
          <t>Electricity</t>
        </is>
      </c>
      <c r="B27" s="7" t="n"/>
      <c r="C27" s="7" t="n"/>
      <c r="D27" s="7" t="n"/>
      <c r="E27" s="7" t="n"/>
      <c r="F27" s="7" t="n"/>
      <c r="G27" s="7" t="n"/>
      <c r="H27" s="7" t="n"/>
    </row>
    <row r="28">
      <c r="A28" s="8" t="inlineStr">
        <is>
          <t>Electricity use (heat pump, boiler, fans, pumps)</t>
        </is>
      </c>
      <c r="B28" s="8" t="inlineStr">
        <is>
          <t>MWh/yr</t>
        </is>
      </c>
      <c r="C28" s="11" t="n">
        <v>998.7328530494639</v>
      </c>
      <c r="D28" s="11" t="n">
        <v>965.7115665456193</v>
      </c>
      <c r="E28" s="11" t="n">
        <v>1674.281868249567</v>
      </c>
      <c r="F28" s="11" t="n">
        <v>1594.516710542514</v>
      </c>
      <c r="G28" s="11" t="n">
        <v>921.0701258578289</v>
      </c>
      <c r="H28" s="4" t="inlineStr"/>
    </row>
    <row r="29">
      <c r="A29" s="8" t="inlineStr">
        <is>
          <t>Share met by wind (own turbine or private wire)</t>
        </is>
      </c>
      <c r="B29" s="8" t="inlineStr">
        <is>
          <t>-</t>
        </is>
      </c>
      <c r="C29" s="10" t="n">
        <v>0.8872272165509972</v>
      </c>
      <c r="D29" s="10" t="n">
        <v>0.9513684916253461</v>
      </c>
      <c r="E29" s="10" t="n">
        <v>0.934176519065594</v>
      </c>
      <c r="F29" s="10" t="n">
        <v>0.9216625000228534</v>
      </c>
      <c r="G29" s="10" t="n">
        <v>0.9306517472199166</v>
      </c>
      <c r="H29" s="4" t="inlineStr">
        <is>
          <t>Hourly dispatch (energy_grid.py)</t>
        </is>
      </c>
    </row>
    <row r="30">
      <c r="A30" s="8" t="inlineStr">
        <is>
          <t>Grid top-up price (delivered, all charges)</t>
        </is>
      </c>
      <c r="B30" s="8" t="inlineStr">
        <is>
          <t>GBP/MWh</t>
        </is>
      </c>
      <c r="C30" s="17" t="n">
        <v>177.0927336328386</v>
      </c>
      <c r="D30" s="17" t="n">
        <v>178.1922392626777</v>
      </c>
      <c r="E30" s="17" t="n">
        <v>178.1766462344593</v>
      </c>
      <c r="F30" s="17" t="n">
        <v>178.1766462344593</v>
      </c>
      <c r="G30" s="17" t="n">
        <v>178.1922392626777</v>
      </c>
      <c r="H30" s="4" t="inlineStr">
        <is>
          <t>DESNZ business price, wholesale share on the Agile shape</t>
        </is>
      </c>
    </row>
    <row r="31">
      <c r="A31" s="8" t="inlineStr">
        <is>
          <t>Network charge increase (peak import band)</t>
        </is>
      </c>
      <c r="B31" s="8" t="inlineStr">
        <is>
          <t>GBP/yr</t>
        </is>
      </c>
      <c r="C31" s="17" t="n">
        <v>19837.75</v>
      </c>
      <c r="D31" s="17" t="n">
        <v>19837.75</v>
      </c>
      <c r="E31" s="17" t="n">
        <v>23221.3</v>
      </c>
      <c r="F31" s="17" t="n">
        <v>23221.3</v>
      </c>
      <c r="G31" s="17" t="n">
        <v>19837.75</v>
      </c>
      <c r="H31" s="4" t="inlineStr">
        <is>
          <t>NESO TNUoS 2026/27 bands; jumps with peak kVA</t>
        </is>
      </c>
    </row>
    <row r="32">
      <c r="A32" s="6" t="inlineStr">
        <is>
          <t>Crop</t>
        </is>
      </c>
      <c r="B32" s="7" t="n"/>
      <c r="C32" s="7" t="n"/>
      <c r="D32" s="7" t="n"/>
      <c r="E32" s="7" t="n"/>
      <c r="F32" s="7" t="n"/>
      <c r="G32" s="7" t="n"/>
      <c r="H32" s="7" t="n"/>
    </row>
    <row r="33">
      <c r="A33" s="8" t="inlineStr">
        <is>
          <t>Yield per m² floor</t>
        </is>
      </c>
      <c r="B33" s="8" t="inlineStr">
        <is>
          <t>kg/m²/yr</t>
        </is>
      </c>
      <c r="C33" s="22" t="n">
        <v>54.60666234802991</v>
      </c>
      <c r="D33" s="22" t="n">
        <v>54.60666234802991</v>
      </c>
      <c r="E33" s="22" t="n">
        <v>62.02036067925957</v>
      </c>
      <c r="F33" s="22" t="n">
        <v>62.02036067925957</v>
      </c>
      <c r="G33" s="22" t="n">
        <v>54.60666234802991</v>
      </c>
      <c r="H33" s="4" t="inlineStr">
        <is>
          <t>crop_gh, calibrated to CBS NL; single glass +14 % from more light (elasticity ~1)</t>
        </is>
      </c>
    </row>
    <row r="34">
      <c r="A34" s="8" t="inlineStr">
        <is>
          <t>CO2 dosed</t>
        </is>
      </c>
      <c r="B34" s="8" t="inlineStr">
        <is>
          <t>kg/m²/yr</t>
        </is>
      </c>
      <c r="C34" s="22" t="n">
        <v>34.25180549873787</v>
      </c>
      <c r="D34" s="22" t="n">
        <v>34.25180549873787</v>
      </c>
      <c r="E34" s="22" t="n">
        <v>33.11579381717075</v>
      </c>
      <c r="F34" s="22" t="n">
        <v>33.11579381717075</v>
      </c>
      <c r="G34" s="22" t="n">
        <v>34.25180549873787</v>
      </c>
      <c r="H34" s="4" t="inlineStr"/>
    </row>
    <row r="35">
      <c r="A35" s="8" t="inlineStr">
        <is>
          <t>Haulage to RDCs</t>
        </is>
      </c>
      <c r="B35" s="8" t="inlineStr">
        <is>
          <t>GBP/kg</t>
        </is>
      </c>
      <c r="C35" s="14" t="n">
        <v>0.04608205467136051</v>
      </c>
      <c r="D35" s="14" t="n">
        <v>0.04608205467136051</v>
      </c>
      <c r="E35" s="14" t="n">
        <v>0.04608205467136051</v>
      </c>
      <c r="F35" s="14" t="n">
        <v>0.04608205467136051</v>
      </c>
      <c r="G35" s="14" t="n">
        <v>0.04608205467136051</v>
      </c>
      <c r="H35" s="4" t="inlineStr">
        <is>
          <t>Stranraer 165 km; Girvan would be £0.032/kg</t>
        </is>
      </c>
    </row>
    <row r="36">
      <c r="A36" s="8" t="inlineStr">
        <is>
          <t>Carbon delivered to RDC</t>
        </is>
      </c>
      <c r="B36" s="8" t="inlineStr">
        <is>
          <t>kg CO2e/kg</t>
        </is>
      </c>
      <c r="C36" s="16" t="n">
        <v>0.2998759085516027</v>
      </c>
      <c r="D36" s="16" t="n">
        <v>0.3352712496866963</v>
      </c>
      <c r="E36" s="16" t="n">
        <v>0.4054168563912985</v>
      </c>
      <c r="F36" s="16" t="n">
        <v>0.323906478911782</v>
      </c>
      <c r="G36" s="16" t="n">
        <v>0.3044658560130525</v>
      </c>
      <c r="H36" s="4" t="inlineStr">
        <is>
          <t>Imports 0.81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2" customWidth="1" min="1" max="1"/>
    <col width="22" customWidth="1" min="2" max="2"/>
    <col width="16" customWidth="1" min="3" max="3"/>
    <col width="16" customWidth="1" min="4" max="4"/>
    <col width="16" customWidth="1" min="5" max="5"/>
    <col width="16" customWidth="1" min="6" max="6"/>
    <col width="16" customWidth="1" min="7" max="7"/>
    <col width="12" customWidth="1" min="8" max="8"/>
    <col width="60" customWidth="1" min="9" max="9"/>
  </cols>
  <sheetData>
    <row r="1">
      <c r="A1" s="1" t="inlineStr">
        <is>
          <t>Initial expenditure by item (GBP)</t>
        </is>
      </c>
    </row>
    <row r="2">
      <c r="A2" s="2" t="inlineStr">
        <is>
          <t>Quantity (Scenarios) x unit rate (Rates). Grey rows are totals.</t>
        </is>
      </c>
    </row>
    <row r="4" ht="30" customHeight="1">
      <c r="A4" s="5" t="inlineStr">
        <is>
          <t>Item</t>
        </is>
      </c>
      <c r="B4" s="5" t="inlineStr">
        <is>
          <t>Cost driver</t>
        </is>
      </c>
      <c r="C4" s="5" t="inlineStr">
        <is>
          <t>S0</t>
        </is>
      </c>
      <c r="D4" s="5" t="inlineStr">
        <is>
          <t>S1</t>
        </is>
      </c>
      <c r="E4" s="5" t="inlineStr">
        <is>
          <t>S2</t>
        </is>
      </c>
      <c r="F4" s="5" t="inlineStr">
        <is>
          <t>S3</t>
        </is>
      </c>
      <c r="G4" s="5" t="inlineStr">
        <is>
          <t>S4</t>
        </is>
      </c>
      <c r="H4" s="5" t="inlineStr">
        <is>
          <t>Life (yr)</t>
        </is>
      </c>
      <c r="I4" s="5" t="inlineStr">
        <is>
          <t>Note</t>
        </is>
      </c>
    </row>
    <row r="5">
      <c r="A5" s="6" t="inlineStr">
        <is>
          <t>Structure</t>
        </is>
      </c>
      <c r="B5" s="7" t="n"/>
      <c r="C5" s="7" t="n"/>
      <c r="D5" s="7" t="n"/>
      <c r="E5" s="7" t="n"/>
      <c r="F5" s="7" t="n"/>
      <c r="G5" s="7" t="n"/>
      <c r="H5" s="7" t="n"/>
      <c r="I5" s="7" t="n"/>
    </row>
    <row r="6">
      <c r="A6" s="8" t="inlineStr">
        <is>
          <t>Steel frame</t>
        </is>
      </c>
      <c r="B6" s="8" t="inlineStr">
        <is>
          <t>per t</t>
        </is>
      </c>
      <c r="C6" s="24">
        <f>'Scenarios'!C14*r_steel</f>
        <v/>
      </c>
      <c r="D6" s="24">
        <f>'Scenarios'!D14*r_steel</f>
        <v/>
      </c>
      <c r="E6" s="24">
        <f>'Scenarios'!E14*r_steel</f>
        <v/>
      </c>
      <c r="F6" s="24">
        <f>'Scenarios'!F14*r_steel</f>
        <v/>
      </c>
      <c r="G6" s="24">
        <f>'Scenarios'!G14*r_steel</f>
        <v/>
      </c>
      <c r="H6" s="25">
        <f>life_steel</f>
        <v/>
      </c>
      <c r="I6" s="4" t="inlineStr"/>
    </row>
    <row r="7">
      <c r="A7" s="8" t="inlineStr">
        <is>
          <t>Aluminium glazing bars</t>
        </is>
      </c>
      <c r="B7" s="8" t="inlineStr">
        <is>
          <t>per kg</t>
        </is>
      </c>
      <c r="C7" s="24">
        <f>'Scenarios'!C15*r_aluminium</f>
        <v/>
      </c>
      <c r="D7" s="24">
        <f>'Scenarios'!D15*r_aluminium</f>
        <v/>
      </c>
      <c r="E7" s="24">
        <f>'Scenarios'!E15*r_aluminium</f>
        <v/>
      </c>
      <c r="F7" s="24">
        <f>'Scenarios'!F15*r_aluminium</f>
        <v/>
      </c>
      <c r="G7" s="24">
        <f>'Scenarios'!G15*r_aluminium</f>
        <v/>
      </c>
      <c r="H7" s="25">
        <f>life_aluminium</f>
        <v/>
      </c>
      <c r="I7" s="4" t="inlineStr"/>
    </row>
    <row r="8">
      <c r="A8" s="8" t="inlineStr">
        <is>
          <t>Glass</t>
        </is>
      </c>
      <c r="B8" s="8" t="inlineStr">
        <is>
          <t>per m² glazed</t>
        </is>
      </c>
      <c r="C8" s="24">
        <f>IF('Scenarios'!C7="Double AR",r_glass_dbl_ar_m2,r_glass_single_m2)*'Scenarios'!C16</f>
        <v/>
      </c>
      <c r="D8" s="24">
        <f>IF('Scenarios'!D7="Double AR",r_glass_dbl_ar_m2,r_glass_single_m2)*'Scenarios'!D16</f>
        <v/>
      </c>
      <c r="E8" s="24">
        <f>IF('Scenarios'!E7="Double AR",r_glass_dbl_ar_m2,r_glass_single_m2)*'Scenarios'!E16</f>
        <v/>
      </c>
      <c r="F8" s="24">
        <f>IF('Scenarios'!F7="Double AR",r_glass_dbl_ar_m2,r_glass_single_m2)*'Scenarios'!F16</f>
        <v/>
      </c>
      <c r="G8" s="24">
        <f>IF('Scenarios'!G7="Double AR",r_glass_dbl_ar_m2,r_glass_single_m2)*'Scenarios'!G16</f>
        <v/>
      </c>
      <c r="H8" s="25">
        <f>life_glass_dbl_ar_m2</f>
        <v/>
      </c>
      <c r="I8" s="4" t="inlineStr">
        <is>
          <t>Rate switches with the glazing choice</t>
        </is>
      </c>
    </row>
    <row r="9">
      <c r="A9" s="8" t="inlineStr">
        <is>
          <t>Concrete foundations and paths</t>
        </is>
      </c>
      <c r="B9" s="8" t="inlineStr">
        <is>
          <t>per m³</t>
        </is>
      </c>
      <c r="C9" s="24">
        <f>'Scenarios'!C17*r_concrete</f>
        <v/>
      </c>
      <c r="D9" s="24">
        <f>'Scenarios'!D17*r_concrete</f>
        <v/>
      </c>
      <c r="E9" s="24">
        <f>'Scenarios'!E17*r_concrete</f>
        <v/>
      </c>
      <c r="F9" s="24">
        <f>'Scenarios'!F17*r_concrete</f>
        <v/>
      </c>
      <c r="G9" s="24">
        <f>'Scenarios'!G17*r_concrete</f>
        <v/>
      </c>
      <c r="H9" s="25">
        <f>life_concrete</f>
        <v/>
      </c>
      <c r="I9" s="4" t="inlineStr"/>
    </row>
    <row r="10">
      <c r="A10" s="8" t="inlineStr">
        <is>
          <t>Heating pipe-rail</t>
        </is>
      </c>
      <c r="B10" s="8" t="inlineStr">
        <is>
          <t>per m</t>
        </is>
      </c>
      <c r="C10" s="24">
        <f>'Scenarios'!C18*r_heating_pipe_m</f>
        <v/>
      </c>
      <c r="D10" s="24">
        <f>'Scenarios'!D18*r_heating_pipe_m</f>
        <v/>
      </c>
      <c r="E10" s="24">
        <f>'Scenarios'!E18*r_heating_pipe_m</f>
        <v/>
      </c>
      <c r="F10" s="24">
        <f>'Scenarios'!F18*r_heating_pipe_m</f>
        <v/>
      </c>
      <c r="G10" s="24">
        <f>'Scenarios'!G18*r_heating_pipe_m</f>
        <v/>
      </c>
      <c r="H10" s="25">
        <f>life_heating_pipe_m</f>
        <v/>
      </c>
      <c r="I10" s="4" t="inlineStr"/>
    </row>
    <row r="11">
      <c r="A11" s="8" t="inlineStr">
        <is>
          <t>Energy screen</t>
        </is>
      </c>
      <c r="B11" s="8" t="inlineStr">
        <is>
          <t>per m² floor</t>
        </is>
      </c>
      <c r="C11" s="24">
        <f>'Scenarios'!C19*r_energy_screen_m2</f>
        <v/>
      </c>
      <c r="D11" s="24">
        <f>'Scenarios'!D19*r_energy_screen_m2</f>
        <v/>
      </c>
      <c r="E11" s="24">
        <f>'Scenarios'!E19*r_energy_screen_m2</f>
        <v/>
      </c>
      <c r="F11" s="24">
        <f>'Scenarios'!F19*r_energy_screen_m2</f>
        <v/>
      </c>
      <c r="G11" s="24">
        <f>'Scenarios'!G19*r_energy_screen_m2</f>
        <v/>
      </c>
      <c r="H11" s="25">
        <f>life_energy_screen_m2</f>
        <v/>
      </c>
      <c r="I11" s="4" t="inlineStr">
        <is>
          <t>10-yr life: replaced twice in 30 yr</t>
        </is>
      </c>
    </row>
    <row r="12">
      <c r="A12" s="8" t="inlineStr">
        <is>
          <t>Installation, climate computer, irrigation, vents, wires (residual)</t>
        </is>
      </c>
      <c r="B12" s="8" t="inlineStr">
        <is>
          <t>per m² floor</t>
        </is>
      </c>
      <c r="C12" s="24">
        <f>'Scenarios'!C9*r_resid</f>
        <v/>
      </c>
      <c r="D12" s="24">
        <f>'Scenarios'!D9*r_resid</f>
        <v/>
      </c>
      <c r="E12" s="24">
        <f>'Scenarios'!E9*r_resid</f>
        <v/>
      </c>
      <c r="F12" s="24">
        <f>'Scenarios'!F9*r_resid</f>
        <v/>
      </c>
      <c r="G12" s="24">
        <f>'Scenarios'!G9*r_resid</f>
        <v/>
      </c>
      <c r="H12" s="25">
        <f>life_resid</f>
        <v/>
      </c>
      <c r="I12" s="4" t="inlineStr">
        <is>
          <t>SAC-calibrated lump: itemise with an RFQ</t>
        </is>
      </c>
    </row>
    <row r="13">
      <c r="A13" s="26" t="inlineStr">
        <is>
          <t>Structure total</t>
        </is>
      </c>
      <c r="B13" s="27" t="inlineStr"/>
      <c r="C13" s="28">
        <f>C6+C7+C8+C9+C10+C11+C12</f>
        <v/>
      </c>
      <c r="D13" s="28">
        <f>D6+D7+D8+D9+D10+D11+D12</f>
        <v/>
      </c>
      <c r="E13" s="28">
        <f>E6+E7+E8+E9+E10+E11+E12</f>
        <v/>
      </c>
      <c r="F13" s="28">
        <f>F6+F7+F8+F9+F10+F11+F12</f>
        <v/>
      </c>
      <c r="G13" s="28">
        <f>G6+G7+G8+G9+G10+G11+G12</f>
        <v/>
      </c>
    </row>
    <row r="14">
      <c r="A14" s="6" t="inlineStr">
        <is>
          <t>Heat system</t>
        </is>
      </c>
      <c r="B14" s="7" t="n"/>
      <c r="C14" s="7" t="n"/>
      <c r="D14" s="7" t="n"/>
      <c r="E14" s="7" t="n"/>
      <c r="F14" s="7" t="n"/>
      <c r="G14" s="7" t="n"/>
      <c r="H14" s="7" t="n"/>
      <c r="I14" s="7" t="n"/>
    </row>
    <row r="15">
      <c r="A15" s="8" t="inlineStr">
        <is>
          <t>Heat pump</t>
        </is>
      </c>
      <c r="B15" s="8" t="inlineStr">
        <is>
          <t>per kW (DEA size curve)</t>
        </is>
      </c>
      <c r="C15" s="24">
        <f>'Scenarios'!C22*IF(('Scenarios'!C22/1000)&lt;=1,dea_hp_1,IF(('Scenarios'!C22/1000)&lt;=3,dea_hp_1+LN(('Scenarios'!C22/1000))/LN(3)*(dea_hp_3-dea_hp_1),IF(('Scenarios'!C22/1000)&lt;=10,dea_hp_3+LN(('Scenarios'!C22/1000)/3)/LN(10/3)*(dea_hp_10-dea_hp_3),dea_hp_10)))*1000*eur_gbp</f>
        <v/>
      </c>
      <c r="D15" s="24">
        <f>'Scenarios'!D22*IF(('Scenarios'!D22/1000)&lt;=1,dea_hp_1,IF(('Scenarios'!D22/1000)&lt;=3,dea_hp_1+LN(('Scenarios'!D22/1000))/LN(3)*(dea_hp_3-dea_hp_1),IF(('Scenarios'!D22/1000)&lt;=10,dea_hp_3+LN(('Scenarios'!D22/1000)/3)/LN(10/3)*(dea_hp_10-dea_hp_3),dea_hp_10)))*1000*eur_gbp</f>
        <v/>
      </c>
      <c r="E15" s="24">
        <f>'Scenarios'!E22*IF(('Scenarios'!E22/1000)&lt;=1,dea_hp_1,IF(('Scenarios'!E22/1000)&lt;=3,dea_hp_1+LN(('Scenarios'!E22/1000))/LN(3)*(dea_hp_3-dea_hp_1),IF(('Scenarios'!E22/1000)&lt;=10,dea_hp_3+LN(('Scenarios'!E22/1000)/3)/LN(10/3)*(dea_hp_10-dea_hp_3),dea_hp_10)))*1000*eur_gbp</f>
        <v/>
      </c>
      <c r="F15" s="24">
        <f>'Scenarios'!F22*IF(('Scenarios'!F22/1000)&lt;=1,dea_hp_1,IF(('Scenarios'!F22/1000)&lt;=3,dea_hp_1+LN(('Scenarios'!F22/1000))/LN(3)*(dea_hp_3-dea_hp_1),IF(('Scenarios'!F22/1000)&lt;=10,dea_hp_3+LN(('Scenarios'!F22/1000)/3)/LN(10/3)*(dea_hp_10-dea_hp_3),dea_hp_10)))*1000*eur_gbp</f>
        <v/>
      </c>
      <c r="G15" s="24">
        <f>'Scenarios'!G22*IF(('Scenarios'!G22/1000)&lt;=1,dea_hp_1,IF(('Scenarios'!G22/1000)&lt;=3,dea_hp_1+LN(('Scenarios'!G22/1000))/LN(3)*(dea_hp_3-dea_hp_1),IF(('Scenarios'!G22/1000)&lt;=10,dea_hp_3+LN(('Scenarios'!G22/1000)/3)/LN(10/3)*(dea_hp_10-dea_hp_3),dea_hp_10)))*1000*eur_gbp</f>
        <v/>
      </c>
      <c r="H15" s="25">
        <f>life_hp</f>
        <v/>
      </c>
      <c r="I15" s="4" t="inlineStr"/>
    </row>
    <row r="16">
      <c r="A16" s="8" t="inlineStr">
        <is>
          <t>Electric peak boiler</t>
        </is>
      </c>
      <c r="B16" s="8" t="inlineStr">
        <is>
          <t>per kW</t>
        </is>
      </c>
      <c r="C16" s="24">
        <f>'Scenarios'!C23*r_boiler*1000*eur_gbp</f>
        <v/>
      </c>
      <c r="D16" s="24">
        <f>'Scenarios'!D23*r_boiler*1000*eur_gbp</f>
        <v/>
      </c>
      <c r="E16" s="24">
        <f>'Scenarios'!E23*r_boiler*1000*eur_gbp</f>
        <v/>
      </c>
      <c r="F16" s="24">
        <f>'Scenarios'!F23*r_boiler*1000*eur_gbp</f>
        <v/>
      </c>
      <c r="G16" s="24">
        <f>'Scenarios'!G23*r_boiler*1000*eur_gbp</f>
        <v/>
      </c>
      <c r="H16" s="25">
        <f>life_boiler</f>
        <v/>
      </c>
      <c r="I16" s="4" t="inlineStr"/>
    </row>
    <row r="17">
      <c r="A17" s="8" t="inlineStr">
        <is>
          <t>Hot-water store</t>
        </is>
      </c>
      <c r="B17" s="8" t="inlineStr">
        <is>
          <t>per kWh</t>
        </is>
      </c>
      <c r="C17" s="24">
        <f>'Scenarios'!C24*r_store</f>
        <v/>
      </c>
      <c r="D17" s="24">
        <f>'Scenarios'!D24*r_store</f>
        <v/>
      </c>
      <c r="E17" s="24">
        <f>'Scenarios'!E24*r_store</f>
        <v/>
      </c>
      <c r="F17" s="24">
        <f>'Scenarios'!F24*r_store</f>
        <v/>
      </c>
      <c r="G17" s="24">
        <f>'Scenarios'!G24*r_store</f>
        <v/>
      </c>
      <c r="H17" s="25">
        <f>life_store</f>
        <v/>
      </c>
      <c r="I17" s="4" t="inlineStr"/>
    </row>
    <row r="18">
      <c r="A18" s="26" t="inlineStr">
        <is>
          <t>Heat system total</t>
        </is>
      </c>
      <c r="B18" s="27" t="inlineStr"/>
      <c r="C18" s="28">
        <f>C15+C16+C17</f>
        <v/>
      </c>
      <c r="D18" s="28">
        <f>D15+D16+D17</f>
        <v/>
      </c>
      <c r="E18" s="28">
        <f>E15+E16+E17</f>
        <v/>
      </c>
      <c r="F18" s="28">
        <f>F15+F16+F17</f>
        <v/>
      </c>
      <c r="G18" s="28">
        <f>G15+G16+G17</f>
        <v/>
      </c>
    </row>
    <row r="19">
      <c r="A19" s="6" t="inlineStr">
        <is>
          <t>Site and connection</t>
        </is>
      </c>
      <c r="B19" s="7" t="n"/>
      <c r="C19" s="7" t="n"/>
      <c r="D19" s="7" t="n"/>
      <c r="E19" s="7" t="n"/>
      <c r="F19" s="7" t="n"/>
      <c r="G19" s="7" t="n"/>
      <c r="H19" s="7" t="n"/>
      <c r="I19" s="7" t="n"/>
    </row>
    <row r="20">
      <c r="A20" s="8" t="inlineStr">
        <is>
          <t>HV import connection</t>
        </is>
      </c>
      <c r="B20" s="8" t="inlineStr">
        <is>
          <t>fixed per site</t>
        </is>
      </c>
      <c r="C20" s="24">
        <f>hv_conn</f>
        <v/>
      </c>
      <c r="D20" s="24">
        <f>hv_conn</f>
        <v/>
      </c>
      <c r="E20" s="24">
        <f>hv_conn</f>
        <v/>
      </c>
      <c r="F20" s="24">
        <f>hv_conn</f>
        <v/>
      </c>
      <c r="G20" s="24">
        <f>hv_conn</f>
        <v/>
      </c>
      <c r="H20" s="11" t="n">
        <v>30</v>
      </c>
      <c r="I20" s="4" t="inlineStr">
        <is>
          <t>Fixed: does not grow with m²</t>
        </is>
      </c>
    </row>
    <row r="21">
      <c r="A21" s="6" t="inlineStr">
        <is>
          <t>Project costs</t>
        </is>
      </c>
      <c r="B21" s="7" t="n"/>
      <c r="C21" s="7" t="n"/>
      <c r="D21" s="7" t="n"/>
      <c r="E21" s="7" t="n"/>
      <c r="F21" s="7" t="n"/>
      <c r="G21" s="7" t="n"/>
      <c r="H21" s="7" t="n"/>
      <c r="I21" s="7" t="n"/>
    </row>
    <row r="22">
      <c r="A22" s="8" t="inlineStr">
        <is>
          <t>Development (design, planning, legal, SI)</t>
        </is>
      </c>
      <c r="B22" s="8" t="inlineStr">
        <is>
          <t>% of the above</t>
        </is>
      </c>
      <c r="C22" s="24">
        <f>dev_frac*(C13+C18+C20)</f>
        <v/>
      </c>
      <c r="D22" s="24">
        <f>dev_frac*(D13+D18+D20)</f>
        <v/>
      </c>
      <c r="E22" s="24">
        <f>dev_frac*(E13+E18+E20)</f>
        <v/>
      </c>
      <c r="F22" s="24">
        <f>dev_frac*(F13+F18+F20)</f>
        <v/>
      </c>
      <c r="G22" s="24">
        <f>dev_frac*(G13+G18+G20)</f>
        <v/>
      </c>
      <c r="H22" s="11" t="n">
        <v>30</v>
      </c>
      <c r="I22" s="4" t="inlineStr"/>
    </row>
    <row r="23">
      <c r="A23" s="8" t="inlineStr">
        <is>
          <t>Contingency</t>
        </is>
      </c>
      <c r="B23" s="8" t="inlineStr">
        <is>
          <t>% of the above</t>
        </is>
      </c>
      <c r="C23" s="24">
        <f>contingency*(C13+C18+C20)</f>
        <v/>
      </c>
      <c r="D23" s="24">
        <f>contingency*(D13+D18+D20)</f>
        <v/>
      </c>
      <c r="E23" s="24">
        <f>contingency*(E13+E18+E20)</f>
        <v/>
      </c>
      <c r="F23" s="24">
        <f>contingency*(F13+F18+F20)</f>
        <v/>
      </c>
      <c r="G23" s="24">
        <f>contingency*(G13+G18+G20)</f>
        <v/>
      </c>
      <c r="H23" s="11" t="n">
        <v>30</v>
      </c>
      <c r="I23" s="4" t="inlineStr"/>
    </row>
    <row r="24">
      <c r="A24" s="29" t="inlineStr">
        <is>
          <t>GREENHOUSE INITIAL EXPENDITURE</t>
        </is>
      </c>
      <c r="B24" s="30" t="inlineStr"/>
      <c r="C24" s="31">
        <f>C13+C18+C20+C22+C23</f>
        <v/>
      </c>
      <c r="D24" s="31">
        <f>D13+D18+D20+D22+D23</f>
        <v/>
      </c>
      <c r="E24" s="31">
        <f>E13+E18+E20+E22+E23</f>
        <v/>
      </c>
      <c r="F24" s="31">
        <f>F13+F18+F20+F22+F23</f>
        <v/>
      </c>
      <c r="G24" s="31">
        <f>G13+G18+G20+G22+G23</f>
        <v/>
      </c>
    </row>
    <row r="25">
      <c r="A25" s="6" t="inlineStr">
        <is>
          <t>Energy route (separate business)</t>
        </is>
      </c>
      <c r="B25" s="7" t="n"/>
      <c r="C25" s="7" t="n"/>
      <c r="D25" s="7" t="n"/>
      <c r="E25" s="7" t="n"/>
      <c r="F25" s="7" t="n"/>
      <c r="G25" s="7" t="n"/>
      <c r="H25" s="7" t="n"/>
      <c r="I25" s="7" t="n"/>
    </row>
    <row r="26">
      <c r="A26" s="8" t="inlineStr">
        <is>
          <t>Owned 2.5 MW turbine + export connection</t>
        </is>
      </c>
      <c r="B26" s="8" t="inlineStr">
        <is>
          <t>fixed (one turbine)</t>
        </is>
      </c>
      <c r="C26" s="24">
        <f>'Scenarios'!C8*(turb_kw*turb_gbp_kw+turb_conn)</f>
        <v/>
      </c>
      <c r="D26" s="24">
        <f>'Scenarios'!D8*(turb_kw*turb_gbp_kw+turb_conn)</f>
        <v/>
      </c>
      <c r="E26" s="24">
        <f>'Scenarios'!E8*(turb_kw*turb_gbp_kw+turb_conn)</f>
        <v/>
      </c>
      <c r="F26" s="24">
        <f>'Scenarios'!F8*(turb_kw*turb_gbp_kw+turb_conn)</f>
        <v/>
      </c>
      <c r="G26" s="24">
        <f>'Scenarios'!G8*(turb_kw*turb_gbp_kw+turb_conn)</f>
        <v/>
      </c>
      <c r="H26" s="25">
        <f>turb_life</f>
        <v/>
      </c>
      <c r="I26" s="4" t="inlineStr">
        <is>
          <t>Zero on the private-wire PPA route</t>
        </is>
      </c>
    </row>
    <row r="27">
      <c r="A27" s="8" t="inlineStr">
        <is>
          <t>Private-wire connection (if ours)</t>
        </is>
      </c>
      <c r="B27" s="8" t="inlineStr">
        <is>
          <t>fixed</t>
        </is>
      </c>
      <c r="C27" s="24">
        <f>(1-'Scenarios'!C8)*pw_capex</f>
        <v/>
      </c>
      <c r="D27" s="24">
        <f>(1-'Scenarios'!D8)*pw_capex</f>
        <v/>
      </c>
      <c r="E27" s="24">
        <f>(1-'Scenarios'!E8)*pw_capex</f>
        <v/>
      </c>
      <c r="F27" s="24">
        <f>(1-'Scenarios'!F8)*pw_capex</f>
        <v/>
      </c>
      <c r="G27" s="24">
        <f>(1-'Scenarios'!G8)*pw_capex</f>
        <v/>
      </c>
      <c r="H27" s="11" t="n">
        <v>30</v>
      </c>
      <c r="I27" s="4" t="inlineStr">
        <is>
          <t>Placeholder 0</t>
        </is>
      </c>
    </row>
    <row r="28">
      <c r="A28" s="29" t="inlineStr">
        <is>
          <t>ENERGY-ROUTE INITIAL EXPENDITURE</t>
        </is>
      </c>
      <c r="B28" s="30" t="inlineStr"/>
      <c r="C28" s="31">
        <f>C26+C27</f>
        <v/>
      </c>
      <c r="D28" s="31">
        <f>D26+D27</f>
        <v/>
      </c>
      <c r="E28" s="31">
        <f>E26+E27</f>
        <v/>
      </c>
      <c r="F28" s="31">
        <f>F26+F27</f>
        <v/>
      </c>
      <c r="G28" s="31">
        <f>G26+G27</f>
        <v/>
      </c>
    </row>
    <row r="29">
      <c r="A29" s="29" t="inlineStr">
        <is>
          <t>TOTAL DAY-ONE SPEND</t>
        </is>
      </c>
      <c r="B29" s="30" t="inlineStr"/>
      <c r="C29" s="31">
        <f>C24+C28</f>
        <v/>
      </c>
      <c r="D29" s="31">
        <f>D24+D28</f>
        <v/>
      </c>
      <c r="E29" s="31">
        <f>E24+E28</f>
        <v/>
      </c>
      <c r="F29" s="31">
        <f>F24+F28</f>
        <v/>
      </c>
      <c r="G29" s="31">
        <f>G24+G28</f>
        <v/>
      </c>
    </row>
    <row r="31">
      <c r="A31" s="6" t="inlineStr">
        <is>
          <t>Per m² and by cost driver</t>
        </is>
      </c>
      <c r="B31" s="7" t="n"/>
      <c r="C31" s="7" t="n"/>
      <c r="D31" s="7" t="n"/>
      <c r="E31" s="7" t="n"/>
      <c r="F31" s="7" t="n"/>
      <c r="G31" s="7" t="n"/>
      <c r="H31" s="7" t="n"/>
      <c r="I31" s="7" t="n"/>
    </row>
    <row r="32">
      <c r="A32" s="8" t="inlineStr">
        <is>
          <t>Greenhouse capex per m²</t>
        </is>
      </c>
      <c r="C32" s="24">
        <f>C24/'Scenarios'!C9</f>
        <v/>
      </c>
      <c r="D32" s="24">
        <f>D24/'Scenarios'!D9</f>
        <v/>
      </c>
      <c r="E32" s="24">
        <f>E24/'Scenarios'!E9</f>
        <v/>
      </c>
      <c r="F32" s="24">
        <f>F24/'Scenarios'!F9</f>
        <v/>
      </c>
      <c r="G32" s="24">
        <f>G24/'Scenarios'!G9</f>
        <v/>
      </c>
    </row>
    <row r="33">
      <c r="A33" s="8" t="inlineStr">
        <is>
          <t>Total day-one spend per m²</t>
        </is>
      </c>
      <c r="C33" s="24">
        <f>C29/'Scenarios'!C9</f>
        <v/>
      </c>
      <c r="D33" s="24">
        <f>D29/'Scenarios'!D9</f>
        <v/>
      </c>
      <c r="E33" s="24">
        <f>E29/'Scenarios'!E9</f>
        <v/>
      </c>
      <c r="F33" s="24">
        <f>F29/'Scenarios'!F9</f>
        <v/>
      </c>
      <c r="G33" s="24">
        <f>G29/'Scenarios'!G9</f>
        <v/>
      </c>
    </row>
    <row r="34">
      <c r="A34" s="8" t="inlineStr">
        <is>
          <t xml:space="preserve">  per m² items (glass, frame, screen, pipe, residual)</t>
        </is>
      </c>
      <c r="C34" s="32">
        <f>(C6+C7+C8+C9+C10+C11+C12)/C24</f>
        <v/>
      </c>
      <c r="D34" s="32">
        <f>(D6+D7+D8+D9+D10+D11+D12)/D24</f>
        <v/>
      </c>
      <c r="E34" s="32">
        <f>(E6+E7+E8+E9+E10+E11+E12)/E24</f>
        <v/>
      </c>
      <c r="F34" s="32">
        <f>(F6+F7+F8+F9+F10+F11+F12)/F24</f>
        <v/>
      </c>
      <c r="G34" s="32">
        <f>(G6+G7+G8+G9+G10+G11+G12)/G24</f>
        <v/>
      </c>
    </row>
    <row r="35">
      <c r="A35" s="8" t="inlineStr">
        <is>
          <t xml:space="preserve">  per kW items (heat pump, boiler, store)</t>
        </is>
      </c>
      <c r="C35" s="32">
        <f>(C15+C16+C17)/C24</f>
        <v/>
      </c>
      <c r="D35" s="32">
        <f>(D15+D16+D17)/D24</f>
        <v/>
      </c>
      <c r="E35" s="32">
        <f>(E15+E16+E17)/E24</f>
        <v/>
      </c>
      <c r="F35" s="32">
        <f>(F15+F16+F17)/F24</f>
        <v/>
      </c>
      <c r="G35" s="32">
        <f>(G15+G16+G17)/G24</f>
        <v/>
      </c>
    </row>
    <row r="36">
      <c r="A36" s="8" t="inlineStr">
        <is>
          <t xml:space="preserve">  fixed items (HV connection)</t>
        </is>
      </c>
      <c r="C36" s="32">
        <f>(C20)/C24</f>
        <v/>
      </c>
      <c r="D36" s="32">
        <f>(D20)/D24</f>
        <v/>
      </c>
      <c r="E36" s="32">
        <f>(E20)/E24</f>
        <v/>
      </c>
      <c r="F36" s="32">
        <f>(F20)/F24</f>
        <v/>
      </c>
      <c r="G36" s="32">
        <f>(G20)/G24</f>
        <v/>
      </c>
    </row>
    <row r="37">
      <c r="A37" s="8" t="inlineStr">
        <is>
          <t xml:space="preserve">  % add-ons (development, contingency)</t>
        </is>
      </c>
      <c r="C37" s="32">
        <f>(C22+C23)/C24</f>
        <v/>
      </c>
      <c r="D37" s="32">
        <f>(D22+D23)/D24</f>
        <v/>
      </c>
      <c r="E37" s="32">
        <f>(E22+E23)/E24</f>
        <v/>
      </c>
      <c r="F37" s="32">
        <f>(F22+F23)/F24</f>
        <v/>
      </c>
      <c r="G37" s="32">
        <f>(G22+G23)/G24</f>
        <v/>
      </c>
    </row>
    <row r="38">
      <c r="A38" s="8" t="inlineStr">
        <is>
          <t>Change in greenhouse capex vs S0</t>
        </is>
      </c>
      <c r="C38" s="24">
        <f>C24-$C$24</f>
        <v/>
      </c>
      <c r="D38" s="24">
        <f>D24-$C$24</f>
        <v/>
      </c>
      <c r="E38" s="24">
        <f>E24-$C$24</f>
        <v/>
      </c>
      <c r="F38" s="24">
        <f>F24-$C$24</f>
        <v/>
      </c>
      <c r="G38" s="24">
        <f>G24-$C$24</f>
        <v/>
      </c>
    </row>
    <row r="39">
      <c r="A39" s="8" t="inlineStr">
        <is>
          <t>Change in total day-one spend vs S0</t>
        </is>
      </c>
      <c r="C39" s="24">
        <f>C29-$C$29</f>
        <v/>
      </c>
      <c r="D39" s="24">
        <f>D29-$C$29</f>
        <v/>
      </c>
      <c r="E39" s="24">
        <f>E29-$C$29</f>
        <v/>
      </c>
      <c r="F39" s="24">
        <f>F29-$C$29</f>
        <v/>
      </c>
      <c r="G39" s="24">
        <f>G29-$C$29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6" customWidth="1" min="4" max="4"/>
    <col width="16" customWidth="1" min="5" max="5"/>
    <col width="16" customWidth="1" min="6" max="6"/>
    <col width="16" customWidth="1" min="7" max="7"/>
    <col width="60" customWidth="1" min="8" max="8"/>
  </cols>
  <sheetData>
    <row r="1">
      <c r="A1" s="1" t="inlineStr">
        <is>
          <t>Electricity price paid by the greenhouse, and the turbine as its own business</t>
        </is>
      </c>
    </row>
    <row r="2">
      <c r="A2" s="2" t="inlineStr">
        <is>
          <t>Turbine route: wind share at the turbine's levelised cost, the rest from the grid. PPA route: wind share at the PPA price.</t>
        </is>
      </c>
    </row>
    <row r="4" ht="30" customHeight="1">
      <c r="A4" s="5" t="inlineStr">
        <is>
          <t>Item</t>
        </is>
      </c>
      <c r="B4" s="5" t="inlineStr">
        <is>
          <t>Unit</t>
        </is>
      </c>
      <c r="C4" s="5" t="inlineStr">
        <is>
          <t>S0</t>
        </is>
      </c>
      <c r="D4" s="5" t="inlineStr">
        <is>
          <t>S1</t>
        </is>
      </c>
      <c r="E4" s="5" t="inlineStr">
        <is>
          <t>S2</t>
        </is>
      </c>
      <c r="F4" s="5" t="inlineStr">
        <is>
          <t>S3</t>
        </is>
      </c>
      <c r="G4" s="5" t="inlineStr">
        <is>
          <t>S4</t>
        </is>
      </c>
      <c r="H4" s="5" t="inlineStr">
        <is>
          <t>Note</t>
        </is>
      </c>
    </row>
    <row r="5">
      <c r="A5" s="6" t="inlineStr">
        <is>
          <t>At the commercial discount rate</t>
        </is>
      </c>
      <c r="B5" s="7" t="n"/>
      <c r="C5" s="7" t="n"/>
      <c r="D5" s="7" t="n"/>
      <c r="E5" s="7" t="n"/>
      <c r="F5" s="7" t="n"/>
      <c r="G5" s="7" t="n"/>
      <c r="H5" s="7" t="n"/>
    </row>
    <row r="6">
      <c r="A6" s="8" t="inlineStr">
        <is>
          <t>Turbine levelised cost of energy (LCOE)</t>
        </is>
      </c>
      <c r="B6" s="8" t="inlineStr">
        <is>
          <t>GBP/MWh</t>
        </is>
      </c>
      <c r="C6" s="18">
        <f>((turb_kw*turb_gbp_kw+turb_conn)*rate_commercial/(1-(1+rate_commercial)^-turb_life)+turb_kw*turb_om_kw)/turb_gen</f>
        <v/>
      </c>
      <c r="D6" s="18">
        <f>((turb_kw*turb_gbp_kw+turb_conn)*rate_commercial/(1-(1+rate_commercial)^-turb_life)+turb_kw*turb_om_kw)/turb_gen</f>
        <v/>
      </c>
      <c r="E6" s="18">
        <f>((turb_kw*turb_gbp_kw+turb_conn)*rate_commercial/(1-(1+rate_commercial)^-turb_life)+turb_kw*turb_om_kw)/turb_gen</f>
        <v/>
      </c>
      <c r="F6" s="18">
        <f>((turb_kw*turb_gbp_kw+turb_conn)*rate_commercial/(1-(1+rate_commercial)^-turb_life)+turb_kw*turb_om_kw)/turb_gen</f>
        <v/>
      </c>
      <c r="G6" s="18">
        <f>((turb_kw*turb_gbp_kw+turb_conn)*rate_commercial/(1-(1+rate_commercial)^-turb_life)+turb_kw*turb_om_kw)/turb_gen</f>
        <v/>
      </c>
      <c r="H6" s="8" t="inlineStr">
        <is>
          <t>capex x CRF(rate, 20 yr) + O&amp;M, over generation</t>
        </is>
      </c>
    </row>
    <row r="7">
      <c r="A7" s="8" t="inlineStr">
        <is>
          <t>Blended electricity price to the greenhouse</t>
        </is>
      </c>
      <c r="B7" s="8" t="inlineStr">
        <is>
          <t>GBP/MWh</t>
        </is>
      </c>
      <c r="C7" s="18">
        <f>'Scenarios'!C29*IF('Scenarios'!C8=1,C6,pw_price)+(1-'Scenarios'!C29)*'Scenarios'!C30</f>
        <v/>
      </c>
      <c r="D7" s="18">
        <f>'Scenarios'!D29*IF('Scenarios'!D8=1,D6,pw_price)+(1-'Scenarios'!D29)*'Scenarios'!D30</f>
        <v/>
      </c>
      <c r="E7" s="18">
        <f>'Scenarios'!E29*IF('Scenarios'!E8=1,E6,pw_price)+(1-'Scenarios'!E29)*'Scenarios'!E30</f>
        <v/>
      </c>
      <c r="F7" s="18">
        <f>'Scenarios'!F29*IF('Scenarios'!F8=1,F6,pw_price)+(1-'Scenarios'!F29)*'Scenarios'!F30</f>
        <v/>
      </c>
      <c r="G7" s="18">
        <f>'Scenarios'!G29*IF('Scenarios'!G8=1,G6,pw_price)+(1-'Scenarios'!G29)*'Scenarios'!G30</f>
        <v/>
      </c>
      <c r="H7" s="8" t="inlineStr">
        <is>
          <t>Model check at 3.5 %: S0 £66.6, S3 £99.5/MWh (hourly dispatch)</t>
        </is>
      </c>
    </row>
    <row r="8">
      <c r="A8" s="8" t="inlineStr">
        <is>
          <t>Turbine business NPV (sales to greenhouse at LCOE + export)</t>
        </is>
      </c>
      <c r="B8" s="8" t="inlineStr">
        <is>
          <t>GBP</t>
        </is>
      </c>
      <c r="C8" s="24">
        <f>'Scenarios'!C8*('Scenarios'!C28*'Scenarios'!C29*C6+MAX(turb_gen-'Scenarios'!C28*'Scenarios'!C29,0)*export_price-turb_kw*turb_om_kw-(turb_kw*turb_gbp_kw+turb_conn)*rate_commercial/(1-(1+rate_commercial)^-turb_life))*((1-(1+rate_commercial)^-years)/rate_commercial)</f>
        <v/>
      </c>
      <c r="D8" s="24">
        <f>'Scenarios'!D8*('Scenarios'!D28*'Scenarios'!D29*D6+MAX(turb_gen-'Scenarios'!D28*'Scenarios'!D29,0)*export_price-turb_kw*turb_om_kw-(turb_kw*turb_gbp_kw+turb_conn)*rate_commercial/(1-(1+rate_commercial)^-turb_life))*((1-(1+rate_commercial)^-years)/rate_commercial)</f>
        <v/>
      </c>
      <c r="E8" s="24">
        <f>'Scenarios'!E8*('Scenarios'!E28*'Scenarios'!E29*E6+MAX(turb_gen-'Scenarios'!E28*'Scenarios'!E29,0)*export_price-turb_kw*turb_om_kw-(turb_kw*turb_gbp_kw+turb_conn)*rate_commercial/(1-(1+rate_commercial)^-turb_life))*((1-(1+rate_commercial)^-years)/rate_commercial)</f>
        <v/>
      </c>
      <c r="F8" s="24">
        <f>'Scenarios'!F8*('Scenarios'!F28*'Scenarios'!F29*F6+MAX(turb_gen-'Scenarios'!F28*'Scenarios'!F29,0)*export_price-turb_kw*turb_om_kw-(turb_kw*turb_gbp_kw+turb_conn)*rate_commercial/(1-(1+rate_commercial)^-turb_life))*((1-(1+rate_commercial)^-years)/rate_commercial)</f>
        <v/>
      </c>
      <c r="G8" s="24">
        <f>'Scenarios'!G8*('Scenarios'!G28*'Scenarios'!G29*G6+MAX(turb_gen-'Scenarios'!G28*'Scenarios'!G29,0)*export_price-turb_kw*turb_om_kw-(turb_kw*turb_gbp_kw+turb_conn)*rate_commercial/(1-(1+rate_commercial)^-turb_life))*((1-(1+rate_commercial)^-years)/rate_commercial)</f>
        <v/>
      </c>
      <c r="H8" s="8" t="inlineStr">
        <is>
          <t>Steady-state: equivalent annual cost of the turbine over 30 yr</t>
        </is>
      </c>
    </row>
    <row r="9">
      <c r="A9" s="6" t="inlineStr">
        <is>
          <t>At the Green Book discount rate</t>
        </is>
      </c>
      <c r="B9" s="7" t="n"/>
      <c r="C9" s="7" t="n"/>
      <c r="D9" s="7" t="n"/>
      <c r="E9" s="7" t="n"/>
      <c r="F9" s="7" t="n"/>
      <c r="G9" s="7" t="n"/>
      <c r="H9" s="7" t="n"/>
    </row>
    <row r="10">
      <c r="A10" s="8" t="inlineStr">
        <is>
          <t>Turbine levelised cost of energy (LCOE)</t>
        </is>
      </c>
      <c r="B10" s="8" t="inlineStr">
        <is>
          <t>GBP/MWh</t>
        </is>
      </c>
      <c r="C10" s="18">
        <f>((turb_kw*turb_gbp_kw+turb_conn)*rate_public/(1-(1+rate_public)^-turb_life)+turb_kw*turb_om_kw)/turb_gen</f>
        <v/>
      </c>
      <c r="D10" s="18">
        <f>((turb_kw*turb_gbp_kw+turb_conn)*rate_public/(1-(1+rate_public)^-turb_life)+turb_kw*turb_om_kw)/turb_gen</f>
        <v/>
      </c>
      <c r="E10" s="18">
        <f>((turb_kw*turb_gbp_kw+turb_conn)*rate_public/(1-(1+rate_public)^-turb_life)+turb_kw*turb_om_kw)/turb_gen</f>
        <v/>
      </c>
      <c r="F10" s="18">
        <f>((turb_kw*turb_gbp_kw+turb_conn)*rate_public/(1-(1+rate_public)^-turb_life)+turb_kw*turb_om_kw)/turb_gen</f>
        <v/>
      </c>
      <c r="G10" s="18">
        <f>((turb_kw*turb_gbp_kw+turb_conn)*rate_public/(1-(1+rate_public)^-turb_life)+turb_kw*turb_om_kw)/turb_gen</f>
        <v/>
      </c>
      <c r="H10" s="8" t="inlineStr">
        <is>
          <t>capex x CRF(rate, 20 yr) + O&amp;M, over generation</t>
        </is>
      </c>
    </row>
    <row r="11">
      <c r="A11" s="8" t="inlineStr">
        <is>
          <t>Blended electricity price to the greenhouse</t>
        </is>
      </c>
      <c r="B11" s="8" t="inlineStr">
        <is>
          <t>GBP/MWh</t>
        </is>
      </c>
      <c r="C11" s="18">
        <f>'Scenarios'!C29*IF('Scenarios'!C8=1,C10,pw_price)+(1-'Scenarios'!C29)*'Scenarios'!C30</f>
        <v/>
      </c>
      <c r="D11" s="18">
        <f>'Scenarios'!D29*IF('Scenarios'!D8=1,D10,pw_price)+(1-'Scenarios'!D29)*'Scenarios'!D30</f>
        <v/>
      </c>
      <c r="E11" s="18">
        <f>'Scenarios'!E29*IF('Scenarios'!E8=1,E10,pw_price)+(1-'Scenarios'!E29)*'Scenarios'!E30</f>
        <v/>
      </c>
      <c r="F11" s="18">
        <f>'Scenarios'!F29*IF('Scenarios'!F8=1,F10,pw_price)+(1-'Scenarios'!F29)*'Scenarios'!F30</f>
        <v/>
      </c>
      <c r="G11" s="18">
        <f>'Scenarios'!G29*IF('Scenarios'!G8=1,G10,pw_price)+(1-'Scenarios'!G29)*'Scenarios'!G30</f>
        <v/>
      </c>
      <c r="H11" s="8" t="inlineStr">
        <is>
          <t>Model check at 3.5 %: S0 £66.6, S3 £99.5/MWh (hourly dispatch)</t>
        </is>
      </c>
    </row>
    <row r="12">
      <c r="A12" s="8" t="inlineStr">
        <is>
          <t>Turbine business NPV (sales to greenhouse at LCOE + export)</t>
        </is>
      </c>
      <c r="B12" s="8" t="inlineStr">
        <is>
          <t>GBP</t>
        </is>
      </c>
      <c r="C12" s="24">
        <f>'Scenarios'!C8*('Scenarios'!C28*'Scenarios'!C29*C10+MAX(turb_gen-'Scenarios'!C28*'Scenarios'!C29,0)*export_price-turb_kw*turb_om_kw-(turb_kw*turb_gbp_kw+turb_conn)*rate_public/(1-(1+rate_public)^-turb_life))*((1-(1+rate_public)^-years)/rate_public)</f>
        <v/>
      </c>
      <c r="D12" s="24">
        <f>'Scenarios'!D8*('Scenarios'!D28*'Scenarios'!D29*D10+MAX(turb_gen-'Scenarios'!D28*'Scenarios'!D29,0)*export_price-turb_kw*turb_om_kw-(turb_kw*turb_gbp_kw+turb_conn)*rate_public/(1-(1+rate_public)^-turb_life))*((1-(1+rate_public)^-years)/rate_public)</f>
        <v/>
      </c>
      <c r="E12" s="24">
        <f>'Scenarios'!E8*('Scenarios'!E28*'Scenarios'!E29*E10+MAX(turb_gen-'Scenarios'!E28*'Scenarios'!E29,0)*export_price-turb_kw*turb_om_kw-(turb_kw*turb_gbp_kw+turb_conn)*rate_public/(1-(1+rate_public)^-turb_life))*((1-(1+rate_public)^-years)/rate_public)</f>
        <v/>
      </c>
      <c r="F12" s="24">
        <f>'Scenarios'!F8*('Scenarios'!F28*'Scenarios'!F29*F10+MAX(turb_gen-'Scenarios'!F28*'Scenarios'!F29,0)*export_price-turb_kw*turb_om_kw-(turb_kw*turb_gbp_kw+turb_conn)*rate_public/(1-(1+rate_public)^-turb_life))*((1-(1+rate_public)^-years)/rate_public)</f>
        <v/>
      </c>
      <c r="G12" s="24">
        <f>'Scenarios'!G8*('Scenarios'!G28*'Scenarios'!G29*G10+MAX(turb_gen-'Scenarios'!G28*'Scenarios'!G29,0)*export_price-turb_kw*turb_om_kw-(turb_kw*turb_gbp_kw+turb_conn)*rate_public/(1-(1+rate_public)^-turb_life))*((1-(1+rate_public)^-years)/rate_public)</f>
        <v/>
      </c>
      <c r="H12" s="8" t="inlineStr">
        <is>
          <t>Steady-state: equivalent annual cost of the turbine over 30 yr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26" customWidth="1" min="2" max="2"/>
    <col width="16" customWidth="1" min="3" max="3"/>
    <col width="16" customWidth="1" min="4" max="4"/>
    <col width="16" customWidth="1" min="5" max="5"/>
    <col width="16" customWidth="1" min="6" max="6"/>
    <col width="16" customWidth="1" min="7" max="7"/>
    <col width="50" customWidth="1" min="8" max="8"/>
  </cols>
  <sheetData>
    <row r="1">
      <c r="A1" s="1" t="inlineStr">
        <is>
          <t>Annual running costs (GBP/yr) at the commercial rate</t>
        </is>
      </c>
    </row>
    <row r="2">
      <c r="A2" s="2" t="inlineStr">
        <is>
          <t>Electricity at the 8 % turbine LCOE; the 3.5 % case only changes the electricity line (see Results).</t>
        </is>
      </c>
    </row>
    <row r="4" ht="30" customHeight="1">
      <c r="A4" s="5" t="inlineStr">
        <is>
          <t>Item</t>
        </is>
      </c>
      <c r="B4" s="5" t="inlineStr">
        <is>
          <t>Driver</t>
        </is>
      </c>
      <c r="C4" s="5" t="inlineStr">
        <is>
          <t>S0</t>
        </is>
      </c>
      <c r="D4" s="5" t="inlineStr">
        <is>
          <t>S1</t>
        </is>
      </c>
      <c r="E4" s="5" t="inlineStr">
        <is>
          <t>S2</t>
        </is>
      </c>
      <c r="F4" s="5" t="inlineStr">
        <is>
          <t>S3</t>
        </is>
      </c>
      <c r="G4" s="5" t="inlineStr">
        <is>
          <t>S4</t>
        </is>
      </c>
      <c r="H4" s="5" t="inlineStr">
        <is>
          <t>Note</t>
        </is>
      </c>
    </row>
    <row r="5">
      <c r="A5" s="3" t="inlineStr">
        <is>
          <t>Revenue (before commission)</t>
        </is>
      </c>
      <c r="B5" s="8" t="inlineStr">
        <is>
          <t>kg x price</t>
        </is>
      </c>
      <c r="C5" s="24">
        <f>('Scenarios'!C33*'Scenarios'!C9)*price_cucumber</f>
        <v/>
      </c>
      <c r="D5" s="24">
        <f>('Scenarios'!D33*'Scenarios'!D9)*price_cucumber</f>
        <v/>
      </c>
      <c r="E5" s="24">
        <f>('Scenarios'!E33*'Scenarios'!E9)*price_cucumber</f>
        <v/>
      </c>
      <c r="F5" s="24">
        <f>('Scenarios'!F33*'Scenarios'!F9)*price_cucumber</f>
        <v/>
      </c>
      <c r="G5" s="24">
        <f>('Scenarios'!G33*'Scenarios'!G9)*price_cucumber</f>
        <v/>
      </c>
      <c r="H5" s="8" t="inlineStr">
        <is>
          <t>Not a cost: used for commission</t>
        </is>
      </c>
    </row>
    <row r="6">
      <c r="A6" s="6" t="inlineStr">
        <is>
          <t>Running costs</t>
        </is>
      </c>
      <c r="B6" s="7" t="n"/>
      <c r="C6" s="7" t="n"/>
      <c r="D6" s="7" t="n"/>
      <c r="E6" s="7" t="n"/>
      <c r="F6" s="7" t="n"/>
      <c r="G6" s="7" t="n"/>
      <c r="H6" s="7" t="n"/>
    </row>
    <row r="7">
      <c r="A7" s="8" t="inlineStr">
        <is>
          <t>Electricity</t>
        </is>
      </c>
      <c r="B7" s="8" t="inlineStr">
        <is>
          <t>MWh x blended price</t>
        </is>
      </c>
      <c r="C7" s="24">
        <f>'Scenarios'!C28*'Energy'!C7</f>
        <v/>
      </c>
      <c r="D7" s="24">
        <f>'Scenarios'!D28*'Energy'!D7</f>
        <v/>
      </c>
      <c r="E7" s="24">
        <f>'Scenarios'!E28*'Energy'!E7</f>
        <v/>
      </c>
      <c r="F7" s="24">
        <f>'Scenarios'!F28*'Energy'!F7</f>
        <v/>
      </c>
      <c r="G7" s="24">
        <f>'Scenarios'!G28*'Energy'!G7</f>
        <v/>
      </c>
      <c r="H7" s="8" t="inlineStr"/>
    </row>
    <row r="8">
      <c r="A8" s="8" t="inlineStr">
        <is>
          <t>Network charge increase</t>
        </is>
      </c>
      <c r="B8" s="8" t="inlineStr">
        <is>
          <t>peak import band</t>
        </is>
      </c>
      <c r="C8" s="24">
        <f>'Scenarios'!C31</f>
        <v/>
      </c>
      <c r="D8" s="24">
        <f>'Scenarios'!D31</f>
        <v/>
      </c>
      <c r="E8" s="24">
        <f>'Scenarios'!E31</f>
        <v/>
      </c>
      <c r="F8" s="24">
        <f>'Scenarios'!F31</f>
        <v/>
      </c>
      <c r="G8" s="24">
        <f>'Scenarios'!G31</f>
        <v/>
      </c>
      <c r="H8" s="8" t="inlineStr"/>
    </row>
    <row r="9">
      <c r="A9" s="8" t="inlineStr">
        <is>
          <t>Labour</t>
        </is>
      </c>
      <c r="B9" s="8" t="inlineStr">
        <is>
          <t>h/m² x rate x growing m²</t>
        </is>
      </c>
      <c r="C9" s="24">
        <f>labour_h_m2*labour_rate*'Scenarios'!C10*'Scenarios'!C9</f>
        <v/>
      </c>
      <c r="D9" s="24">
        <f>labour_h_m2*labour_rate*'Scenarios'!D10*'Scenarios'!D9</f>
        <v/>
      </c>
      <c r="E9" s="24">
        <f>labour_h_m2*labour_rate*'Scenarios'!E10*'Scenarios'!E9</f>
        <v/>
      </c>
      <c r="F9" s="24">
        <f>labour_h_m2*labour_rate*'Scenarios'!F10*'Scenarios'!F9</f>
        <v/>
      </c>
      <c r="G9" s="24">
        <f>labour_h_m2*labour_rate*'Scenarios'!G10*'Scenarios'!G9</f>
        <v/>
      </c>
      <c r="H9" s="8" t="inlineStr"/>
    </row>
    <row r="10">
      <c r="A10" s="8" t="inlineStr">
        <is>
          <t>CO2</t>
        </is>
      </c>
      <c r="B10" s="8" t="inlineStr">
        <is>
          <t>kg/m² x price x growing m²</t>
        </is>
      </c>
      <c r="C10" s="24">
        <f>'Scenarios'!C34*co2_price*'Scenarios'!C10*'Scenarios'!C9</f>
        <v/>
      </c>
      <c r="D10" s="24">
        <f>'Scenarios'!D34*co2_price*'Scenarios'!D10*'Scenarios'!D9</f>
        <v/>
      </c>
      <c r="E10" s="24">
        <f>'Scenarios'!E34*co2_price*'Scenarios'!E10*'Scenarios'!E9</f>
        <v/>
      </c>
      <c r="F10" s="24">
        <f>'Scenarios'!F34*co2_price*'Scenarios'!F10*'Scenarios'!F9</f>
        <v/>
      </c>
      <c r="G10" s="24">
        <f>'Scenarios'!G34*co2_price*'Scenarios'!G10*'Scenarios'!G9</f>
        <v/>
      </c>
      <c r="H10" s="8" t="inlineStr">
        <is>
          <t>Free distillery CO2 removes this</t>
        </is>
      </c>
    </row>
    <row r="11">
      <c r="A11" s="8" t="inlineStr">
        <is>
          <t>Young plants</t>
        </is>
      </c>
      <c r="B11" s="8" t="inlineStr">
        <is>
          <t>per growing m²</t>
        </is>
      </c>
      <c r="C11" s="24">
        <f>plants_m2*'Scenarios'!C10*'Scenarios'!C9</f>
        <v/>
      </c>
      <c r="D11" s="24">
        <f>plants_m2*'Scenarios'!D10*'Scenarios'!D9</f>
        <v/>
      </c>
      <c r="E11" s="24">
        <f>plants_m2*'Scenarios'!E10*'Scenarios'!E9</f>
        <v/>
      </c>
      <c r="F11" s="24">
        <f>plants_m2*'Scenarios'!F10*'Scenarios'!F9</f>
        <v/>
      </c>
      <c r="G11" s="24">
        <f>plants_m2*'Scenarios'!G10*'Scenarios'!G9</f>
        <v/>
      </c>
      <c r="H11" s="8" t="inlineStr"/>
    </row>
    <row r="12">
      <c r="A12" s="8" t="inlineStr">
        <is>
          <t>Substrate</t>
        </is>
      </c>
      <c r="B12" s="8" t="inlineStr">
        <is>
          <t>per growing m²</t>
        </is>
      </c>
      <c r="C12" s="24">
        <f>substrate_m2*'Scenarios'!C10*'Scenarios'!C9</f>
        <v/>
      </c>
      <c r="D12" s="24">
        <f>substrate_m2*'Scenarios'!D10*'Scenarios'!D9</f>
        <v/>
      </c>
      <c r="E12" s="24">
        <f>substrate_m2*'Scenarios'!E10*'Scenarios'!E9</f>
        <v/>
      </c>
      <c r="F12" s="24">
        <f>substrate_m2*'Scenarios'!F10*'Scenarios'!F9</f>
        <v/>
      </c>
      <c r="G12" s="24">
        <f>substrate_m2*'Scenarios'!G10*'Scenarios'!G9</f>
        <v/>
      </c>
      <c r="H12" s="8" t="inlineStr"/>
    </row>
    <row r="13">
      <c r="A13" s="8" t="inlineStr">
        <is>
          <t>Fertiliser, protection, strings, water</t>
        </is>
      </c>
      <c r="B13" s="8" t="inlineStr">
        <is>
          <t>per growing m²</t>
        </is>
      </c>
      <c r="C13" s="24">
        <f>materials_m2*'Scenarios'!C10*'Scenarios'!C9</f>
        <v/>
      </c>
      <c r="D13" s="24">
        <f>materials_m2*'Scenarios'!D10*'Scenarios'!D9</f>
        <v/>
      </c>
      <c r="E13" s="24">
        <f>materials_m2*'Scenarios'!E10*'Scenarios'!E9</f>
        <v/>
      </c>
      <c r="F13" s="24">
        <f>materials_m2*'Scenarios'!F10*'Scenarios'!F9</f>
        <v/>
      </c>
      <c r="G13" s="24">
        <f>materials_m2*'Scenarios'!G10*'Scenarios'!G9</f>
        <v/>
      </c>
      <c r="H13" s="8" t="inlineStr"/>
    </row>
    <row r="14">
      <c r="A14" s="8" t="inlineStr">
        <is>
          <t>Packing</t>
        </is>
      </c>
      <c r="B14" s="8" t="inlineStr">
        <is>
          <t>per kg</t>
        </is>
      </c>
      <c r="C14" s="24">
        <f>pack_gbp_kg*('Scenarios'!C33*'Scenarios'!C9)</f>
        <v/>
      </c>
      <c r="D14" s="24">
        <f>pack_gbp_kg*('Scenarios'!D33*'Scenarios'!D9)</f>
        <v/>
      </c>
      <c r="E14" s="24">
        <f>pack_gbp_kg*('Scenarios'!E33*'Scenarios'!E9)</f>
        <v/>
      </c>
      <c r="F14" s="24">
        <f>pack_gbp_kg*('Scenarios'!F33*'Scenarios'!F9)</f>
        <v/>
      </c>
      <c r="G14" s="24">
        <f>pack_gbp_kg*('Scenarios'!G33*'Scenarios'!G9)</f>
        <v/>
      </c>
      <c r="H14" s="8" t="inlineStr"/>
    </row>
    <row r="15">
      <c r="A15" s="8" t="inlineStr">
        <is>
          <t>Haulage to RDCs</t>
        </is>
      </c>
      <c r="B15" s="8" t="inlineStr">
        <is>
          <t>per kg</t>
        </is>
      </c>
      <c r="C15" s="24">
        <f>'Scenarios'!C35*('Scenarios'!C33*'Scenarios'!C9)</f>
        <v/>
      </c>
      <c r="D15" s="24">
        <f>'Scenarios'!D35*('Scenarios'!D33*'Scenarios'!D9)</f>
        <v/>
      </c>
      <c r="E15" s="24">
        <f>'Scenarios'!E35*('Scenarios'!E33*'Scenarios'!E9)</f>
        <v/>
      </c>
      <c r="F15" s="24">
        <f>'Scenarios'!F35*('Scenarios'!F33*'Scenarios'!F9)</f>
        <v/>
      </c>
      <c r="G15" s="24">
        <f>'Scenarios'!G35*('Scenarios'!G33*'Scenarios'!G9)</f>
        <v/>
      </c>
      <c r="H15" s="8" t="inlineStr"/>
    </row>
    <row r="16">
      <c r="A16" s="8" t="inlineStr">
        <is>
          <t>Structure O&amp;M + insurance</t>
        </is>
      </c>
      <c r="B16" s="8" t="inlineStr">
        <is>
          <t>% of structure capex</t>
        </is>
      </c>
      <c r="C16" s="24">
        <f>om_frac*'Capex'!C13</f>
        <v/>
      </c>
      <c r="D16" s="24">
        <f>om_frac*'Capex'!D13</f>
        <v/>
      </c>
      <c r="E16" s="24">
        <f>om_frac*'Capex'!E13</f>
        <v/>
      </c>
      <c r="F16" s="24">
        <f>om_frac*'Capex'!F13</f>
        <v/>
      </c>
      <c r="G16" s="24">
        <f>om_frac*'Capex'!G13</f>
        <v/>
      </c>
      <c r="H16" s="8" t="inlineStr"/>
    </row>
    <row r="17">
      <c r="A17" s="8" t="inlineStr">
        <is>
          <t>Heat pump, boiler, store O&amp;M</t>
        </is>
      </c>
      <c r="B17" s="8" t="inlineStr">
        <is>
          <t>per MW / MWh</t>
        </is>
      </c>
      <c r="C17" s="24">
        <f>('Scenarios'!C22/1000*om_hp+'Scenarios'!C23/1000*om_boiler)*eur_gbp+'Scenarios'!C24/1000*om_store*1.2876*eur_gbp</f>
        <v/>
      </c>
      <c r="D17" s="24">
        <f>('Scenarios'!D22/1000*om_hp+'Scenarios'!D23/1000*om_boiler)*eur_gbp+'Scenarios'!D24/1000*om_store*1.2876*eur_gbp</f>
        <v/>
      </c>
      <c r="E17" s="24">
        <f>('Scenarios'!E22/1000*om_hp+'Scenarios'!E23/1000*om_boiler)*eur_gbp+'Scenarios'!E24/1000*om_store*1.2876*eur_gbp</f>
        <v/>
      </c>
      <c r="F17" s="24">
        <f>('Scenarios'!F22/1000*om_hp+'Scenarios'!F23/1000*om_boiler)*eur_gbp+'Scenarios'!F24/1000*om_store*1.2876*eur_gbp</f>
        <v/>
      </c>
      <c r="G17" s="24">
        <f>('Scenarios'!G22/1000*om_hp+'Scenarios'!G23/1000*om_boiler)*eur_gbp+'Scenarios'!G24/1000*om_store*1.2876*eur_gbp</f>
        <v/>
      </c>
      <c r="H17" s="8" t="inlineStr">
        <is>
          <t>DEA</t>
        </is>
      </c>
    </row>
    <row r="18">
      <c r="A18" s="8" t="inlineStr">
        <is>
          <t>Overheads</t>
        </is>
      </c>
      <c r="B18" s="8" t="inlineStr">
        <is>
          <t>per m² floor</t>
        </is>
      </c>
      <c r="C18" s="24">
        <f>overheads_m2*'Scenarios'!C9</f>
        <v/>
      </c>
      <c r="D18" s="24">
        <f>overheads_m2*'Scenarios'!D9</f>
        <v/>
      </c>
      <c r="E18" s="24">
        <f>overheads_m2*'Scenarios'!E9</f>
        <v/>
      </c>
      <c r="F18" s="24">
        <f>overheads_m2*'Scenarios'!F9</f>
        <v/>
      </c>
      <c r="G18" s="24">
        <f>overheads_m2*'Scenarios'!G9</f>
        <v/>
      </c>
      <c r="H18" s="8" t="inlineStr"/>
    </row>
    <row r="19">
      <c r="A19" s="8" t="inlineStr">
        <is>
          <t>Land rent</t>
        </is>
      </c>
      <c r="B19" s="8" t="inlineStr">
        <is>
          <t>per ha incl. 30 % extra</t>
        </is>
      </c>
      <c r="C19" s="24">
        <f>land_rent_ha*'Scenarios'!C9/10000*(1+land_extra)</f>
        <v/>
      </c>
      <c r="D19" s="24">
        <f>land_rent_ha*'Scenarios'!D9/10000*(1+land_extra)</f>
        <v/>
      </c>
      <c r="E19" s="24">
        <f>land_rent_ha*'Scenarios'!E9/10000*(1+land_extra)</f>
        <v/>
      </c>
      <c r="F19" s="24">
        <f>land_rent_ha*'Scenarios'!F9/10000*(1+land_extra)</f>
        <v/>
      </c>
      <c r="G19" s="24">
        <f>land_rent_ha*'Scenarios'!G9/10000*(1+land_extra)</f>
        <v/>
      </c>
      <c r="H19" s="8" t="inlineStr"/>
    </row>
    <row r="20">
      <c r="A20" s="8" t="inlineStr">
        <is>
          <t>Market commission</t>
        </is>
      </c>
      <c r="B20" s="8" t="inlineStr">
        <is>
          <t>% of revenue</t>
        </is>
      </c>
      <c r="C20" s="24">
        <f>commission*C5</f>
        <v/>
      </c>
      <c r="D20" s="24">
        <f>commission*D5</f>
        <v/>
      </c>
      <c r="E20" s="24">
        <f>commission*E5</f>
        <v/>
      </c>
      <c r="F20" s="24">
        <f>commission*F5</f>
        <v/>
      </c>
      <c r="G20" s="24">
        <f>commission*G5</f>
        <v/>
      </c>
      <c r="H20" s="8" t="inlineStr">
        <is>
          <t>14 % (BritFarmers 2026)</t>
        </is>
      </c>
    </row>
    <row r="21">
      <c r="A21" s="26" t="inlineStr">
        <is>
          <t>TOTAL RUNNING COSTS</t>
        </is>
      </c>
      <c r="C21" s="28">
        <f>C7+C8+C9+C10+C11+C12+C13+C14+C15+C16+C17+C18+C19+C20</f>
        <v/>
      </c>
      <c r="D21" s="28">
        <f>D7+D8+D9+D10+D11+D12+D13+D14+D15+D16+D17+D18+D19+D20</f>
        <v/>
      </c>
      <c r="E21" s="28">
        <f>E7+E8+E9+E10+E11+E12+E13+E14+E15+E16+E17+E18+E19+E20</f>
        <v/>
      </c>
      <c r="F21" s="28">
        <f>F7+F8+F9+F10+F11+F12+F13+F14+F15+F16+F17+F18+F19+F20</f>
        <v/>
      </c>
      <c r="G21" s="28">
        <f>G7+G8+G9+G10+G11+G12+G13+G14+G15+G16+G17+G18+G19+G20</f>
        <v/>
      </c>
    </row>
    <row r="22">
      <c r="A22" s="8" t="inlineStr">
        <is>
          <t>Running cost per kg</t>
        </is>
      </c>
      <c r="C22" s="33">
        <f>C21/('Scenarios'!C33*'Scenarios'!C9)</f>
        <v/>
      </c>
      <c r="D22" s="33">
        <f>D21/('Scenarios'!D33*'Scenarios'!D9)</f>
        <v/>
      </c>
      <c r="E22" s="33">
        <f>E21/('Scenarios'!E33*'Scenarios'!E9)</f>
        <v/>
      </c>
      <c r="F22" s="33">
        <f>F21/('Scenarios'!F33*'Scenarios'!F9)</f>
        <v/>
      </c>
      <c r="G22" s="33">
        <f>G21/('Scenarios'!G33*'Scenarios'!G9)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8" customWidth="1" min="1" max="1"/>
    <col width="12" customWidth="1" min="2" max="2"/>
    <col width="16" customWidth="1" min="3" max="3"/>
    <col width="16" customWidth="1" min="4" max="4"/>
    <col width="16" customWidth="1" min="5" max="5"/>
    <col width="16" customWidth="1" min="6" max="6"/>
    <col width="16" customWidth="1" min="7" max="7"/>
    <col width="56" customWidth="1" min="8" max="8"/>
  </cols>
  <sheetData>
    <row r="1">
      <c r="A1" s="1" t="inlineStr">
        <is>
          <t>Results: initial spend, cost per kg, margin and NPV</t>
        </is>
      </c>
    </row>
    <row r="2">
      <c r="A2" s="2" t="inlineStr">
        <is>
          <t>Equivalent annual capital cost = capex x CRF(rate, item life); covers replacements of shorter-lived items.</t>
        </is>
      </c>
    </row>
    <row r="4" ht="30" customHeight="1">
      <c r="A4" s="5" t="inlineStr">
        <is>
          <t>Result</t>
        </is>
      </c>
      <c r="B4" s="5" t="inlineStr">
        <is>
          <t>Unit</t>
        </is>
      </c>
      <c r="C4" s="5" t="inlineStr">
        <is>
          <t>S0</t>
        </is>
      </c>
      <c r="D4" s="5" t="inlineStr">
        <is>
          <t>S1</t>
        </is>
      </c>
      <c r="E4" s="5" t="inlineStr">
        <is>
          <t>S2</t>
        </is>
      </c>
      <c r="F4" s="5" t="inlineStr">
        <is>
          <t>S3</t>
        </is>
      </c>
      <c r="G4" s="5" t="inlineStr">
        <is>
          <t>S4</t>
        </is>
      </c>
      <c r="H4" s="5" t="inlineStr">
        <is>
          <t>Note</t>
        </is>
      </c>
    </row>
    <row r="5">
      <c r="A5" s="6" t="inlineStr">
        <is>
          <t>Initial expenditure</t>
        </is>
      </c>
      <c r="B5" s="7" t="n"/>
      <c r="C5" s="7" t="n"/>
      <c r="D5" s="7" t="n"/>
      <c r="E5" s="7" t="n"/>
      <c r="F5" s="7" t="n"/>
      <c r="G5" s="7" t="n"/>
      <c r="H5" s="7" t="n"/>
    </row>
    <row r="6">
      <c r="A6" s="8" t="inlineStr">
        <is>
          <t>Greenhouse</t>
        </is>
      </c>
      <c r="B6" s="8" t="inlineStr">
        <is>
          <t>GBP</t>
        </is>
      </c>
      <c r="C6" s="34">
        <f>'Capex'!C24</f>
        <v/>
      </c>
      <c r="D6" s="34">
        <f>'Capex'!D24</f>
        <v/>
      </c>
      <c r="E6" s="34">
        <f>'Capex'!E24</f>
        <v/>
      </c>
      <c r="F6" s="34">
        <f>'Capex'!F24</f>
        <v/>
      </c>
      <c r="G6" s="34">
        <f>'Capex'!G24</f>
        <v/>
      </c>
    </row>
    <row r="7">
      <c r="A7" s="8" t="inlineStr">
        <is>
          <t>Energy route (turbine)</t>
        </is>
      </c>
      <c r="B7" s="8" t="inlineStr">
        <is>
          <t>GBP</t>
        </is>
      </c>
      <c r="C7" s="34">
        <f>'Capex'!C28</f>
        <v/>
      </c>
      <c r="D7" s="34">
        <f>'Capex'!D28</f>
        <v/>
      </c>
      <c r="E7" s="34">
        <f>'Capex'!E28</f>
        <v/>
      </c>
      <c r="F7" s="34">
        <f>'Capex'!F28</f>
        <v/>
      </c>
      <c r="G7" s="34">
        <f>'Capex'!G28</f>
        <v/>
      </c>
    </row>
    <row r="8">
      <c r="A8" s="3" t="inlineStr">
        <is>
          <t>Total day-one spend</t>
        </is>
      </c>
      <c r="B8" s="8" t="inlineStr">
        <is>
          <t>GBP</t>
        </is>
      </c>
      <c r="C8" s="35">
        <f>'Capex'!C29</f>
        <v/>
      </c>
      <c r="D8" s="35">
        <f>'Capex'!D29</f>
        <v/>
      </c>
      <c r="E8" s="35">
        <f>'Capex'!E29</f>
        <v/>
      </c>
      <c r="F8" s="35">
        <f>'Capex'!F29</f>
        <v/>
      </c>
      <c r="G8" s="35">
        <f>'Capex'!G29</f>
        <v/>
      </c>
    </row>
    <row r="9">
      <c r="A9" s="8" t="inlineStr">
        <is>
          <t>Reduction in day-one spend vs S0</t>
        </is>
      </c>
      <c r="B9" s="8" t="inlineStr">
        <is>
          <t>%</t>
        </is>
      </c>
      <c r="C9" s="32">
        <f>1-C8/$C$8</f>
        <v/>
      </c>
      <c r="D9" s="32">
        <f>1-D8/$C$8</f>
        <v/>
      </c>
      <c r="E9" s="32">
        <f>1-E8/$C$8</f>
        <v/>
      </c>
      <c r="F9" s="32">
        <f>1-F8/$C$8</f>
        <v/>
      </c>
      <c r="G9" s="32">
        <f>1-G8/$C$8</f>
        <v/>
      </c>
    </row>
    <row r="10">
      <c r="A10" s="6" t="inlineStr">
        <is>
          <t>At the commercial discount rate</t>
        </is>
      </c>
      <c r="B10" s="7" t="n"/>
      <c r="C10" s="7" t="n"/>
      <c r="D10" s="7" t="n"/>
      <c r="E10" s="7" t="n"/>
      <c r="F10" s="7" t="n"/>
      <c r="G10" s="7" t="n"/>
      <c r="H10" s="7" t="n"/>
    </row>
    <row r="11">
      <c r="A11" s="8" t="inlineStr">
        <is>
          <t>Equivalent annual capital cost (greenhouse)</t>
        </is>
      </c>
      <c r="B11" s="8" t="inlineStr">
        <is>
          <t>GBP/yr</t>
        </is>
      </c>
      <c r="C11" s="24">
        <f>'Capex'!C6*rate_commercial/(1-(1+rate_commercial)^-life_steel)+'Capex'!C7*rate_commercial/(1-(1+rate_commercial)^-life_aluminium)+'Capex'!C8*rate_commercial/(1-(1+rate_commercial)^-life_glass_dbl_ar_m2)+'Capex'!C9*rate_commercial/(1-(1+rate_commercial)^-life_concrete)+'Capex'!C10*rate_commercial/(1-(1+rate_commercial)^-life_heating_pipe_m)+'Capex'!C11*rate_commercial/(1-(1+rate_commercial)^-life_energy_screen_m2)+'Capex'!C12*rate_commercial/(1-(1+rate_commercial)^-life_resid)+'Capex'!C15*rate_commercial/(1-(1+rate_commercial)^-life_hp)+'Capex'!C16*rate_commercial/(1-(1+rate_commercial)^-life_boiler)+'Capex'!C17*rate_commercial/(1-(1+rate_commercial)^-life_store)+'Capex'!C20*rate_commercial/(1-(1+rate_commercial)^-years)+'Capex'!C22*rate_commercial/(1-(1+rate_commercial)^-years)+'Capex'!C23*rate_commercial/(1-(1+rate_commercial)^-years)</f>
        <v/>
      </c>
      <c r="D11" s="24">
        <f>'Capex'!D6*rate_commercial/(1-(1+rate_commercial)^-life_steel)+'Capex'!D7*rate_commercial/(1-(1+rate_commercial)^-life_aluminium)+'Capex'!D8*rate_commercial/(1-(1+rate_commercial)^-life_glass_dbl_ar_m2)+'Capex'!D9*rate_commercial/(1-(1+rate_commercial)^-life_concrete)+'Capex'!D10*rate_commercial/(1-(1+rate_commercial)^-life_heating_pipe_m)+'Capex'!D11*rate_commercial/(1-(1+rate_commercial)^-life_energy_screen_m2)+'Capex'!D12*rate_commercial/(1-(1+rate_commercial)^-life_resid)+'Capex'!D15*rate_commercial/(1-(1+rate_commercial)^-life_hp)+'Capex'!D16*rate_commercial/(1-(1+rate_commercial)^-life_boiler)+'Capex'!D17*rate_commercial/(1-(1+rate_commercial)^-life_store)+'Capex'!D20*rate_commercial/(1-(1+rate_commercial)^-years)+'Capex'!D22*rate_commercial/(1-(1+rate_commercial)^-years)+'Capex'!D23*rate_commercial/(1-(1+rate_commercial)^-years)</f>
        <v/>
      </c>
      <c r="E11" s="24">
        <f>'Capex'!E6*rate_commercial/(1-(1+rate_commercial)^-life_steel)+'Capex'!E7*rate_commercial/(1-(1+rate_commercial)^-life_aluminium)+'Capex'!E8*rate_commercial/(1-(1+rate_commercial)^-life_glass_dbl_ar_m2)+'Capex'!E9*rate_commercial/(1-(1+rate_commercial)^-life_concrete)+'Capex'!E10*rate_commercial/(1-(1+rate_commercial)^-life_heating_pipe_m)+'Capex'!E11*rate_commercial/(1-(1+rate_commercial)^-life_energy_screen_m2)+'Capex'!E12*rate_commercial/(1-(1+rate_commercial)^-life_resid)+'Capex'!E15*rate_commercial/(1-(1+rate_commercial)^-life_hp)+'Capex'!E16*rate_commercial/(1-(1+rate_commercial)^-life_boiler)+'Capex'!E17*rate_commercial/(1-(1+rate_commercial)^-life_store)+'Capex'!E20*rate_commercial/(1-(1+rate_commercial)^-years)+'Capex'!E22*rate_commercial/(1-(1+rate_commercial)^-years)+'Capex'!E23*rate_commercial/(1-(1+rate_commercial)^-years)</f>
        <v/>
      </c>
      <c r="F11" s="24">
        <f>'Capex'!F6*rate_commercial/(1-(1+rate_commercial)^-life_steel)+'Capex'!F7*rate_commercial/(1-(1+rate_commercial)^-life_aluminium)+'Capex'!F8*rate_commercial/(1-(1+rate_commercial)^-life_glass_dbl_ar_m2)+'Capex'!F9*rate_commercial/(1-(1+rate_commercial)^-life_concrete)+'Capex'!F10*rate_commercial/(1-(1+rate_commercial)^-life_heating_pipe_m)+'Capex'!F11*rate_commercial/(1-(1+rate_commercial)^-life_energy_screen_m2)+'Capex'!F12*rate_commercial/(1-(1+rate_commercial)^-life_resid)+'Capex'!F15*rate_commercial/(1-(1+rate_commercial)^-life_hp)+'Capex'!F16*rate_commercial/(1-(1+rate_commercial)^-life_boiler)+'Capex'!F17*rate_commercial/(1-(1+rate_commercial)^-life_store)+'Capex'!F20*rate_commercial/(1-(1+rate_commercial)^-years)+'Capex'!F22*rate_commercial/(1-(1+rate_commercial)^-years)+'Capex'!F23*rate_commercial/(1-(1+rate_commercial)^-years)</f>
        <v/>
      </c>
      <c r="G11" s="24">
        <f>'Capex'!G6*rate_commercial/(1-(1+rate_commercial)^-life_steel)+'Capex'!G7*rate_commercial/(1-(1+rate_commercial)^-life_aluminium)+'Capex'!G8*rate_commercial/(1-(1+rate_commercial)^-life_glass_dbl_ar_m2)+'Capex'!G9*rate_commercial/(1-(1+rate_commercial)^-life_concrete)+'Capex'!G10*rate_commercial/(1-(1+rate_commercial)^-life_heating_pipe_m)+'Capex'!G11*rate_commercial/(1-(1+rate_commercial)^-life_energy_screen_m2)+'Capex'!G12*rate_commercial/(1-(1+rate_commercial)^-life_resid)+'Capex'!G15*rate_commercial/(1-(1+rate_commercial)^-life_hp)+'Capex'!G16*rate_commercial/(1-(1+rate_commercial)^-life_boiler)+'Capex'!G17*rate_commercial/(1-(1+rate_commercial)^-life_store)+'Capex'!G20*rate_commercial/(1-(1+rate_commercial)^-years)+'Capex'!G22*rate_commercial/(1-(1+rate_commercial)^-years)+'Capex'!G23*rate_commercial/(1-(1+rate_commercial)^-years)</f>
        <v/>
      </c>
    </row>
    <row r="12">
      <c r="A12" s="8" t="inlineStr">
        <is>
          <t>Running costs (electricity at this rate's turbine LCOE)</t>
        </is>
      </c>
      <c r="B12" s="8" t="inlineStr">
        <is>
          <t>GBP/yr</t>
        </is>
      </c>
      <c r="C12" s="24">
        <f>'Opex'!C21-'Opex'!C7+'Scenarios'!C28*'Energy'!C7</f>
        <v/>
      </c>
      <c r="D12" s="24">
        <f>'Opex'!D21-'Opex'!D7+'Scenarios'!D28*'Energy'!D7</f>
        <v/>
      </c>
      <c r="E12" s="24">
        <f>'Opex'!E21-'Opex'!E7+'Scenarios'!E28*'Energy'!E7</f>
        <v/>
      </c>
      <c r="F12" s="24">
        <f>'Opex'!F21-'Opex'!F7+'Scenarios'!F28*'Energy'!F7</f>
        <v/>
      </c>
      <c r="G12" s="24">
        <f>'Opex'!G21-'Opex'!G7+'Scenarios'!G28*'Energy'!G7</f>
        <v/>
      </c>
    </row>
    <row r="13">
      <c r="A13" s="8" t="inlineStr">
        <is>
          <t>Production</t>
        </is>
      </c>
      <c r="B13" s="8" t="inlineStr">
        <is>
          <t>kg/yr</t>
        </is>
      </c>
      <c r="C13" s="36">
        <f>'Scenarios'!C33*'Scenarios'!C9</f>
        <v/>
      </c>
      <c r="D13" s="36">
        <f>'Scenarios'!D33*'Scenarios'!D9</f>
        <v/>
      </c>
      <c r="E13" s="36">
        <f>'Scenarios'!E33*'Scenarios'!E9</f>
        <v/>
      </c>
      <c r="F13" s="36">
        <f>'Scenarios'!F33*'Scenarios'!F9</f>
        <v/>
      </c>
      <c r="G13" s="36">
        <f>'Scenarios'!G33*'Scenarios'!G9</f>
        <v/>
      </c>
    </row>
    <row r="14">
      <c r="A14" s="3" t="inlineStr">
        <is>
          <t>LEVELISED COST OF PRODUCTION</t>
        </is>
      </c>
      <c r="B14" s="8" t="inlineStr">
        <is>
          <t>GBP/kg</t>
        </is>
      </c>
      <c r="C14" s="37">
        <f>(C11+C12)/C13</f>
        <v/>
      </c>
      <c r="D14" s="37">
        <f>(D11+D12)/D13</f>
        <v/>
      </c>
      <c r="E14" s="37">
        <f>(E11+E12)/E13</f>
        <v/>
      </c>
      <c r="F14" s="37">
        <f>(F11+F12)/F13</f>
        <v/>
      </c>
      <c r="G14" s="37">
        <f>(G11+G12)/G13</f>
        <v/>
      </c>
    </row>
    <row r="15">
      <c r="A15" s="8" t="inlineStr">
        <is>
          <t xml:space="preserve">  of which capital</t>
        </is>
      </c>
      <c r="B15" s="8" t="inlineStr">
        <is>
          <t>GBP/kg</t>
        </is>
      </c>
      <c r="C15" s="33">
        <f>C11/C13</f>
        <v/>
      </c>
      <c r="D15" s="33">
        <f>D11/D13</f>
        <v/>
      </c>
      <c r="E15" s="33">
        <f>E11/E13</f>
        <v/>
      </c>
      <c r="F15" s="33">
        <f>F11/F13</f>
        <v/>
      </c>
      <c r="G15" s="33">
        <f>G11/G13</f>
        <v/>
      </c>
    </row>
    <row r="16">
      <c r="A16" s="8" t="inlineStr">
        <is>
          <t>Price received (DEFRA wholesale, harvest-weighted)</t>
        </is>
      </c>
      <c r="B16" s="8" t="inlineStr">
        <is>
          <t>GBP/kg</t>
        </is>
      </c>
      <c r="C16" s="38">
        <f>price_cucumber</f>
        <v/>
      </c>
      <c r="D16" s="38">
        <f>price_cucumber</f>
        <v/>
      </c>
      <c r="E16" s="38">
        <f>price_cucumber</f>
        <v/>
      </c>
      <c r="F16" s="38">
        <f>price_cucumber</f>
        <v/>
      </c>
      <c r="G16" s="38">
        <f>price_cucumber</f>
        <v/>
      </c>
    </row>
    <row r="17">
      <c r="A17" s="8" t="inlineStr">
        <is>
          <t>Margin per kg (price - cost)</t>
        </is>
      </c>
      <c r="B17" s="8" t="inlineStr">
        <is>
          <t>GBP/kg</t>
        </is>
      </c>
      <c r="C17" s="33">
        <f>price_cucumber-C14</f>
        <v/>
      </c>
      <c r="D17" s="33">
        <f>price_cucumber-D14</f>
        <v/>
      </c>
      <c r="E17" s="33">
        <f>price_cucumber-E14</f>
        <v/>
      </c>
      <c r="F17" s="33">
        <f>price_cucumber-F14</f>
        <v/>
      </c>
      <c r="G17" s="33">
        <f>price_cucumber-G14</f>
        <v/>
      </c>
    </row>
    <row r="18">
      <c r="A18" s="8" t="inlineStr">
        <is>
          <t>Break-even price (covers commission)</t>
        </is>
      </c>
      <c r="B18" s="8" t="inlineStr">
        <is>
          <t>GBP/kg</t>
        </is>
      </c>
      <c r="C18" s="33">
        <f>(C11+C12-'Opex'!C20)/(C13*(1-commission))</f>
        <v/>
      </c>
      <c r="D18" s="33">
        <f>(D11+D12-'Opex'!D20)/(D13*(1-commission))</f>
        <v/>
      </c>
      <c r="E18" s="33">
        <f>(E11+E12-'Opex'!E20)/(E13*(1-commission))</f>
        <v/>
      </c>
      <c r="F18" s="33">
        <f>(F11+F12-'Opex'!F20)/(F13*(1-commission))</f>
        <v/>
      </c>
      <c r="G18" s="33">
        <f>(G11+G12-'Opex'!G20)/(G13*(1-commission))</f>
        <v/>
      </c>
    </row>
    <row r="19">
      <c r="A19" s="3" t="inlineStr">
        <is>
          <t>Greenhouse NPV (steady-state, 30 yr)</t>
        </is>
      </c>
      <c r="B19" s="8" t="inlineStr">
        <is>
          <t>GBP</t>
        </is>
      </c>
      <c r="C19" s="39">
        <f>(C13*price_cucumber-C12-C11)*((1-(1+rate_commercial)^-years)/rate_commercial)</f>
        <v/>
      </c>
      <c r="D19" s="39">
        <f>(D13*price_cucumber-D12-D11)*((1-(1+rate_commercial)^-years)/rate_commercial)</f>
        <v/>
      </c>
      <c r="E19" s="39">
        <f>(E13*price_cucumber-E12-E11)*((1-(1+rate_commercial)^-years)/rate_commercial)</f>
        <v/>
      </c>
      <c r="F19" s="39">
        <f>(F13*price_cucumber-F12-F11)*((1-(1+rate_commercial)^-years)/rate_commercial)</f>
        <v/>
      </c>
      <c r="G19" s="39">
        <f>(G13*price_cucumber-G12-G11)*((1-(1+rate_commercial)^-years)/rate_commercial)</f>
        <v/>
      </c>
    </row>
    <row r="20">
      <c r="A20" s="8" t="inlineStr">
        <is>
          <t>Turbine business NPV (link to Energy)</t>
        </is>
      </c>
      <c r="B20" s="8" t="inlineStr">
        <is>
          <t>GBP</t>
        </is>
      </c>
      <c r="C20" s="34">
        <f>'Energy'!C8</f>
        <v/>
      </c>
      <c r="D20" s="34">
        <f>'Energy'!D8</f>
        <v/>
      </c>
      <c r="E20" s="34">
        <f>'Energy'!E8</f>
        <v/>
      </c>
      <c r="F20" s="34">
        <f>'Energy'!F8</f>
        <v/>
      </c>
      <c r="G20" s="34">
        <f>'Energy'!G8</f>
        <v/>
      </c>
    </row>
    <row r="21">
      <c r="A21" s="6" t="inlineStr">
        <is>
          <t>At the Green Book discount rate</t>
        </is>
      </c>
      <c r="B21" s="7" t="n"/>
      <c r="C21" s="7" t="n"/>
      <c r="D21" s="7" t="n"/>
      <c r="E21" s="7" t="n"/>
      <c r="F21" s="7" t="n"/>
      <c r="G21" s="7" t="n"/>
      <c r="H21" s="7" t="n"/>
    </row>
    <row r="22">
      <c r="A22" s="8" t="inlineStr">
        <is>
          <t>Equivalent annual capital cost (greenhouse)</t>
        </is>
      </c>
      <c r="B22" s="8" t="inlineStr">
        <is>
          <t>GBP/yr</t>
        </is>
      </c>
      <c r="C22" s="24">
        <f>'Capex'!C6*rate_public/(1-(1+rate_public)^-life_steel)+'Capex'!C7*rate_public/(1-(1+rate_public)^-life_aluminium)+'Capex'!C8*rate_public/(1-(1+rate_public)^-life_glass_dbl_ar_m2)+'Capex'!C9*rate_public/(1-(1+rate_public)^-life_concrete)+'Capex'!C10*rate_public/(1-(1+rate_public)^-life_heating_pipe_m)+'Capex'!C11*rate_public/(1-(1+rate_public)^-life_energy_screen_m2)+'Capex'!C12*rate_public/(1-(1+rate_public)^-life_resid)+'Capex'!C15*rate_public/(1-(1+rate_public)^-life_hp)+'Capex'!C16*rate_public/(1-(1+rate_public)^-life_boiler)+'Capex'!C17*rate_public/(1-(1+rate_public)^-life_store)+'Capex'!C20*rate_public/(1-(1+rate_public)^-years)+'Capex'!C22*rate_public/(1-(1+rate_public)^-years)+'Capex'!C23*rate_public/(1-(1+rate_public)^-years)</f>
        <v/>
      </c>
      <c r="D22" s="24">
        <f>'Capex'!D6*rate_public/(1-(1+rate_public)^-life_steel)+'Capex'!D7*rate_public/(1-(1+rate_public)^-life_aluminium)+'Capex'!D8*rate_public/(1-(1+rate_public)^-life_glass_dbl_ar_m2)+'Capex'!D9*rate_public/(1-(1+rate_public)^-life_concrete)+'Capex'!D10*rate_public/(1-(1+rate_public)^-life_heating_pipe_m)+'Capex'!D11*rate_public/(1-(1+rate_public)^-life_energy_screen_m2)+'Capex'!D12*rate_public/(1-(1+rate_public)^-life_resid)+'Capex'!D15*rate_public/(1-(1+rate_public)^-life_hp)+'Capex'!D16*rate_public/(1-(1+rate_public)^-life_boiler)+'Capex'!D17*rate_public/(1-(1+rate_public)^-life_store)+'Capex'!D20*rate_public/(1-(1+rate_public)^-years)+'Capex'!D22*rate_public/(1-(1+rate_public)^-years)+'Capex'!D23*rate_public/(1-(1+rate_public)^-years)</f>
        <v/>
      </c>
      <c r="E22" s="24">
        <f>'Capex'!E6*rate_public/(1-(1+rate_public)^-life_steel)+'Capex'!E7*rate_public/(1-(1+rate_public)^-life_aluminium)+'Capex'!E8*rate_public/(1-(1+rate_public)^-life_glass_dbl_ar_m2)+'Capex'!E9*rate_public/(1-(1+rate_public)^-life_concrete)+'Capex'!E10*rate_public/(1-(1+rate_public)^-life_heating_pipe_m)+'Capex'!E11*rate_public/(1-(1+rate_public)^-life_energy_screen_m2)+'Capex'!E12*rate_public/(1-(1+rate_public)^-life_resid)+'Capex'!E15*rate_public/(1-(1+rate_public)^-life_hp)+'Capex'!E16*rate_public/(1-(1+rate_public)^-life_boiler)+'Capex'!E17*rate_public/(1-(1+rate_public)^-life_store)+'Capex'!E20*rate_public/(1-(1+rate_public)^-years)+'Capex'!E22*rate_public/(1-(1+rate_public)^-years)+'Capex'!E23*rate_public/(1-(1+rate_public)^-years)</f>
        <v/>
      </c>
      <c r="F22" s="24">
        <f>'Capex'!F6*rate_public/(1-(1+rate_public)^-life_steel)+'Capex'!F7*rate_public/(1-(1+rate_public)^-life_aluminium)+'Capex'!F8*rate_public/(1-(1+rate_public)^-life_glass_dbl_ar_m2)+'Capex'!F9*rate_public/(1-(1+rate_public)^-life_concrete)+'Capex'!F10*rate_public/(1-(1+rate_public)^-life_heating_pipe_m)+'Capex'!F11*rate_public/(1-(1+rate_public)^-life_energy_screen_m2)+'Capex'!F12*rate_public/(1-(1+rate_public)^-life_resid)+'Capex'!F15*rate_public/(1-(1+rate_public)^-life_hp)+'Capex'!F16*rate_public/(1-(1+rate_public)^-life_boiler)+'Capex'!F17*rate_public/(1-(1+rate_public)^-life_store)+'Capex'!F20*rate_public/(1-(1+rate_public)^-years)+'Capex'!F22*rate_public/(1-(1+rate_public)^-years)+'Capex'!F23*rate_public/(1-(1+rate_public)^-years)</f>
        <v/>
      </c>
      <c r="G22" s="24">
        <f>'Capex'!G6*rate_public/(1-(1+rate_public)^-life_steel)+'Capex'!G7*rate_public/(1-(1+rate_public)^-life_aluminium)+'Capex'!G8*rate_public/(1-(1+rate_public)^-life_glass_dbl_ar_m2)+'Capex'!G9*rate_public/(1-(1+rate_public)^-life_concrete)+'Capex'!G10*rate_public/(1-(1+rate_public)^-life_heating_pipe_m)+'Capex'!G11*rate_public/(1-(1+rate_public)^-life_energy_screen_m2)+'Capex'!G12*rate_public/(1-(1+rate_public)^-life_resid)+'Capex'!G15*rate_public/(1-(1+rate_public)^-life_hp)+'Capex'!G16*rate_public/(1-(1+rate_public)^-life_boiler)+'Capex'!G17*rate_public/(1-(1+rate_public)^-life_store)+'Capex'!G20*rate_public/(1-(1+rate_public)^-years)+'Capex'!G22*rate_public/(1-(1+rate_public)^-years)+'Capex'!G23*rate_public/(1-(1+rate_public)^-years)</f>
        <v/>
      </c>
    </row>
    <row r="23">
      <c r="A23" s="8" t="inlineStr">
        <is>
          <t>Running costs (electricity at this rate's turbine LCOE)</t>
        </is>
      </c>
      <c r="B23" s="8" t="inlineStr">
        <is>
          <t>GBP/yr</t>
        </is>
      </c>
      <c r="C23" s="24">
        <f>'Opex'!C21-'Opex'!C7+'Scenarios'!C28*'Energy'!C11</f>
        <v/>
      </c>
      <c r="D23" s="24">
        <f>'Opex'!D21-'Opex'!D7+'Scenarios'!D28*'Energy'!D11</f>
        <v/>
      </c>
      <c r="E23" s="24">
        <f>'Opex'!E21-'Opex'!E7+'Scenarios'!E28*'Energy'!E11</f>
        <v/>
      </c>
      <c r="F23" s="24">
        <f>'Opex'!F21-'Opex'!F7+'Scenarios'!F28*'Energy'!F11</f>
        <v/>
      </c>
      <c r="G23" s="24">
        <f>'Opex'!G21-'Opex'!G7+'Scenarios'!G28*'Energy'!G11</f>
        <v/>
      </c>
    </row>
    <row r="24">
      <c r="A24" s="8" t="inlineStr">
        <is>
          <t>Production</t>
        </is>
      </c>
      <c r="B24" s="8" t="inlineStr">
        <is>
          <t>kg/yr</t>
        </is>
      </c>
      <c r="C24" s="36">
        <f>'Scenarios'!C33*'Scenarios'!C9</f>
        <v/>
      </c>
      <c r="D24" s="36">
        <f>'Scenarios'!D33*'Scenarios'!D9</f>
        <v/>
      </c>
      <c r="E24" s="36">
        <f>'Scenarios'!E33*'Scenarios'!E9</f>
        <v/>
      </c>
      <c r="F24" s="36">
        <f>'Scenarios'!F33*'Scenarios'!F9</f>
        <v/>
      </c>
      <c r="G24" s="36">
        <f>'Scenarios'!G33*'Scenarios'!G9</f>
        <v/>
      </c>
    </row>
    <row r="25">
      <c r="A25" s="3" t="inlineStr">
        <is>
          <t>LEVELISED COST OF PRODUCTION</t>
        </is>
      </c>
      <c r="B25" s="8" t="inlineStr">
        <is>
          <t>GBP/kg</t>
        </is>
      </c>
      <c r="C25" s="37">
        <f>(C22+C23)/C24</f>
        <v/>
      </c>
      <c r="D25" s="37">
        <f>(D22+D23)/D24</f>
        <v/>
      </c>
      <c r="E25" s="37">
        <f>(E22+E23)/E24</f>
        <v/>
      </c>
      <c r="F25" s="37">
        <f>(F22+F23)/F24</f>
        <v/>
      </c>
      <c r="G25" s="37">
        <f>(G22+G23)/G24</f>
        <v/>
      </c>
    </row>
    <row r="26">
      <c r="A26" s="8" t="inlineStr">
        <is>
          <t xml:space="preserve">  of which capital</t>
        </is>
      </c>
      <c r="B26" s="8" t="inlineStr">
        <is>
          <t>GBP/kg</t>
        </is>
      </c>
      <c r="C26" s="33">
        <f>C22/C24</f>
        <v/>
      </c>
      <c r="D26" s="33">
        <f>D22/D24</f>
        <v/>
      </c>
      <c r="E26" s="33">
        <f>E22/E24</f>
        <v/>
      </c>
      <c r="F26" s="33">
        <f>F22/F24</f>
        <v/>
      </c>
      <c r="G26" s="33">
        <f>G22/G24</f>
        <v/>
      </c>
    </row>
    <row r="27">
      <c r="A27" s="8" t="inlineStr">
        <is>
          <t>Price received (DEFRA wholesale, harvest-weighted)</t>
        </is>
      </c>
      <c r="B27" s="8" t="inlineStr">
        <is>
          <t>GBP/kg</t>
        </is>
      </c>
      <c r="C27" s="38">
        <f>price_cucumber</f>
        <v/>
      </c>
      <c r="D27" s="38">
        <f>price_cucumber</f>
        <v/>
      </c>
      <c r="E27" s="38">
        <f>price_cucumber</f>
        <v/>
      </c>
      <c r="F27" s="38">
        <f>price_cucumber</f>
        <v/>
      </c>
      <c r="G27" s="38">
        <f>price_cucumber</f>
        <v/>
      </c>
    </row>
    <row r="28">
      <c r="A28" s="8" t="inlineStr">
        <is>
          <t>Margin per kg (price - cost)</t>
        </is>
      </c>
      <c r="B28" s="8" t="inlineStr">
        <is>
          <t>GBP/kg</t>
        </is>
      </c>
      <c r="C28" s="33">
        <f>price_cucumber-C25</f>
        <v/>
      </c>
      <c r="D28" s="33">
        <f>price_cucumber-D25</f>
        <v/>
      </c>
      <c r="E28" s="33">
        <f>price_cucumber-E25</f>
        <v/>
      </c>
      <c r="F28" s="33">
        <f>price_cucumber-F25</f>
        <v/>
      </c>
      <c r="G28" s="33">
        <f>price_cucumber-G25</f>
        <v/>
      </c>
    </row>
    <row r="29">
      <c r="A29" s="8" t="inlineStr">
        <is>
          <t>Break-even price (covers commission)</t>
        </is>
      </c>
      <c r="B29" s="8" t="inlineStr">
        <is>
          <t>GBP/kg</t>
        </is>
      </c>
      <c r="C29" s="33">
        <f>(C22+C23-'Opex'!C20)/(C24*(1-commission))</f>
        <v/>
      </c>
      <c r="D29" s="33">
        <f>(D22+D23-'Opex'!D20)/(D24*(1-commission))</f>
        <v/>
      </c>
      <c r="E29" s="33">
        <f>(E22+E23-'Opex'!E20)/(E24*(1-commission))</f>
        <v/>
      </c>
      <c r="F29" s="33">
        <f>(F22+F23-'Opex'!F20)/(F24*(1-commission))</f>
        <v/>
      </c>
      <c r="G29" s="33">
        <f>(G22+G23-'Opex'!G20)/(G24*(1-commission))</f>
        <v/>
      </c>
    </row>
    <row r="30">
      <c r="A30" s="3" t="inlineStr">
        <is>
          <t>Greenhouse NPV (steady-state, 30 yr)</t>
        </is>
      </c>
      <c r="B30" s="8" t="inlineStr">
        <is>
          <t>GBP</t>
        </is>
      </c>
      <c r="C30" s="39">
        <f>(C24*price_cucumber-C23-C22)*((1-(1+rate_public)^-years)/rate_public)</f>
        <v/>
      </c>
      <c r="D30" s="39">
        <f>(D24*price_cucumber-D23-D22)*((1-(1+rate_public)^-years)/rate_public)</f>
        <v/>
      </c>
      <c r="E30" s="39">
        <f>(E24*price_cucumber-E23-E22)*((1-(1+rate_public)^-years)/rate_public)</f>
        <v/>
      </c>
      <c r="F30" s="39">
        <f>(F24*price_cucumber-F23-F22)*((1-(1+rate_public)^-years)/rate_public)</f>
        <v/>
      </c>
      <c r="G30" s="39">
        <f>(G24*price_cucumber-G23-G22)*((1-(1+rate_public)^-years)/rate_public)</f>
        <v/>
      </c>
    </row>
    <row r="31">
      <c r="A31" s="8" t="inlineStr">
        <is>
          <t>Turbine business NPV (link to Energy)</t>
        </is>
      </c>
      <c r="B31" s="8" t="inlineStr">
        <is>
          <t>GBP</t>
        </is>
      </c>
      <c r="C31" s="34">
        <f>'Energy'!C12</f>
        <v/>
      </c>
      <c r="D31" s="34">
        <f>'Energy'!D12</f>
        <v/>
      </c>
      <c r="E31" s="34">
        <f>'Energy'!E12</f>
        <v/>
      </c>
      <c r="F31" s="34">
        <f>'Energy'!F12</f>
        <v/>
      </c>
      <c r="G31" s="34">
        <f>'Energy'!G12</f>
        <v/>
      </c>
    </row>
    <row r="33">
      <c r="A33" s="6" t="inlineStr">
        <is>
          <t>Check against the full cash-flow model (cashflow.py, S0, 5 % commission, with ramp-up and residual value)</t>
        </is>
      </c>
      <c r="B33" s="7" t="n"/>
      <c r="C33" s="7" t="n"/>
      <c r="D33" s="7" t="n"/>
      <c r="E33" s="7" t="n"/>
      <c r="F33" s="7" t="n"/>
      <c r="G33" s="7" t="n"/>
      <c r="H33" s="7" t="n"/>
    </row>
    <row r="34">
      <c r="A34" s="8" t="inlineStr">
        <is>
          <t>Levelised cost at 8 % (cashflow.py)</t>
        </is>
      </c>
      <c r="B34" s="8" t="inlineStr">
        <is>
          <t>GBP/kg</t>
        </is>
      </c>
      <c r="C34" s="14" t="n">
        <v>1.585</v>
      </c>
      <c r="H34" s="4" t="inlineStr">
        <is>
          <t>This sheet uses 14 % commission and the 8 %-rate turbine LCOE; set Inputs commission to 5 % to compare like for like (expect within a few pence: no ramp-up year, no residual value here)</t>
        </is>
      </c>
    </row>
    <row r="35">
      <c r="A35" s="8" t="inlineStr">
        <is>
          <t>Levelised cost at 3.5 % (cashflow.py)</t>
        </is>
      </c>
      <c r="B35" s="8" t="inlineStr">
        <is>
          <t>GBP/kg</t>
        </is>
      </c>
      <c r="C35" s="14" t="n">
        <v>1.32</v>
      </c>
      <c r="H35" s="4" t="inlineStr">
        <is>
          <t>This sheet uses 14 % commission and the 8 %-rate turbine LCOE; set Inputs commission to 5 % to compare like for like (expect within a few pence: no ramp-up year, no residual value here)</t>
        </is>
      </c>
    </row>
    <row r="36">
      <c r="A36" s="8" t="inlineStr">
        <is>
          <t>Greenhouse capex, S0 (cashflow.py)</t>
        </is>
      </c>
      <c r="B36" s="8" t="inlineStr">
        <is>
          <t>GBP</t>
        </is>
      </c>
      <c r="C36" s="17" t="n">
        <v>4073887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4"/>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60" customWidth="1" min="9" max="9"/>
  </cols>
  <sheetData>
    <row r="1">
      <c r="A1" s="1" t="inlineStr">
        <is>
          <t>Scale explorer: how cost per m² changes with size</t>
        </is>
      </c>
    </row>
    <row r="2">
      <c r="A2" s="2" t="inlineStr">
        <is>
          <t>Today's model scales everything per m² except the HV connection. Here each cost has its own driver; fixed and perimeter shares come from residual_items.csv and the geometry (BP19b/d); quotes will replace them.</t>
        </is>
      </c>
    </row>
    <row r="4">
      <c r="A4" s="8" t="inlineStr">
        <is>
          <t>Fixed share of the residual (climate computer core, design, plant room, water basin)</t>
        </is>
      </c>
      <c r="B4" s="9" t="n">
        <v>0.177</v>
      </c>
    </row>
    <row r="5">
      <c r="A5" s="8" t="inlineStr">
        <is>
          <t>Perimeter items: share of structure that is walls / edge foundations</t>
        </is>
      </c>
      <c r="B5" s="9" t="n">
        <v>0.101</v>
      </c>
    </row>
    <row r="6">
      <c r="A6" s="8" t="inlineStr">
        <is>
          <t>Heat pump design load per m² (from S0)</t>
        </is>
      </c>
      <c r="B6" s="40">
        <f>'Scenarios'!C21/'Scenarios'!C9*1000</f>
        <v/>
      </c>
      <c r="C6" s="8" t="inlineStr">
        <is>
          <t>W/m²</t>
        </is>
      </c>
    </row>
    <row r="7">
      <c r="A7" s="8" t="inlineStr">
        <is>
          <t>Heat pump share of design load (S0 rule)</t>
        </is>
      </c>
      <c r="B7" s="32">
        <f>'Scenarios'!C22/'Scenarios'!C21</f>
        <v/>
      </c>
    </row>
    <row r="9" ht="30" customHeight="1">
      <c r="A9" s="5" t="inlineStr">
        <is>
          <t>Item (GBP per m²)</t>
        </is>
      </c>
      <c r="B9" s="5" t="inlineStr">
        <is>
          <t>1 ha</t>
        </is>
      </c>
      <c r="C9" s="5" t="inlineStr">
        <is>
          <t>2 ha</t>
        </is>
      </c>
      <c r="D9" s="5" t="inlineStr">
        <is>
          <t>5 ha</t>
        </is>
      </c>
      <c r="E9" s="5" t="inlineStr">
        <is>
          <t>10 ha</t>
        </is>
      </c>
      <c r="F9" s="5" t="inlineStr">
        <is>
          <t>20 ha</t>
        </is>
      </c>
      <c r="G9" s="5" t="inlineStr">
        <is>
          <t>30 ha</t>
        </is>
      </c>
      <c r="H9" s="5" t="inlineStr"/>
      <c r="I9" s="5" t="inlineStr">
        <is>
          <t>Driver</t>
        </is>
      </c>
    </row>
    <row r="10">
      <c r="A10" s="8" t="inlineStr">
        <is>
          <t>Area (m²)</t>
        </is>
      </c>
      <c r="B10" s="11" t="n">
        <v>10000</v>
      </c>
      <c r="C10" s="11" t="n">
        <v>20000</v>
      </c>
      <c r="D10" s="11" t="n">
        <v>50000</v>
      </c>
      <c r="E10" s="11" t="n">
        <v>100000</v>
      </c>
      <c r="F10" s="11" t="n">
        <v>200000</v>
      </c>
      <c r="G10" s="11" t="n">
        <v>300000</v>
      </c>
    </row>
    <row r="11">
      <c r="A11" s="8" t="inlineStr">
        <is>
          <t>Structure, area items</t>
        </is>
      </c>
      <c r="B11" s="18">
        <f>('Capex'!$C$13-'Capex'!$C$12)/'Scenarios'!C9*(1-perim_share)</f>
        <v/>
      </c>
      <c r="C11" s="18">
        <f>('Capex'!$C$13-'Capex'!$C$12)/'Scenarios'!C9*(1-perim_share)</f>
        <v/>
      </c>
      <c r="D11" s="18">
        <f>('Capex'!$C$13-'Capex'!$C$12)/'Scenarios'!C9*(1-perim_share)</f>
        <v/>
      </c>
      <c r="E11" s="18">
        <f>('Capex'!$C$13-'Capex'!$C$12)/'Scenarios'!C9*(1-perim_share)</f>
        <v/>
      </c>
      <c r="F11" s="18">
        <f>('Capex'!$C$13-'Capex'!$C$12)/'Scenarios'!C9*(1-perim_share)</f>
        <v/>
      </c>
      <c r="G11" s="18">
        <f>('Capex'!$C$13-'Capex'!$C$12)/'Scenarios'!C9*(1-perim_share)</f>
        <v/>
      </c>
      <c r="I11" s="8" t="inlineStr">
        <is>
          <t>per m² (flat rate; volume discounts need quotes)</t>
        </is>
      </c>
    </row>
    <row r="12">
      <c r="A12" s="8" t="inlineStr">
        <is>
          <t>Structure, perimeter items</t>
        </is>
      </c>
      <c r="B12" s="18">
        <f>('Capex'!$C$13-'Capex'!$C$12)/'Scenarios'!C9*perim_share*SQRT('Scenarios'!C9/B10)</f>
        <v/>
      </c>
      <c r="C12" s="18">
        <f>('Capex'!$C$13-'Capex'!$C$12)/'Scenarios'!C9*perim_share*SQRT('Scenarios'!C9/C10)</f>
        <v/>
      </c>
      <c r="D12" s="18">
        <f>('Capex'!$C$13-'Capex'!$C$12)/'Scenarios'!C9*perim_share*SQRT('Scenarios'!C9/D10)</f>
        <v/>
      </c>
      <c r="E12" s="18">
        <f>('Capex'!$C$13-'Capex'!$C$12)/'Scenarios'!C9*perim_share*SQRT('Scenarios'!C9/E10)</f>
        <v/>
      </c>
      <c r="F12" s="18">
        <f>('Capex'!$C$13-'Capex'!$C$12)/'Scenarios'!C9*perim_share*SQRT('Scenarios'!C9/F10)</f>
        <v/>
      </c>
      <c r="G12" s="18">
        <f>('Capex'!$C$13-'Capex'!$C$12)/'Scenarios'!C9*perim_share*SQRT('Scenarios'!C9/G10)</f>
        <v/>
      </c>
      <c r="I12" s="8" t="inlineStr">
        <is>
          <t>per m of perimeter: falls as 1/sqrt(area)</t>
        </is>
      </c>
    </row>
    <row r="13">
      <c r="A13" s="8" t="inlineStr">
        <is>
          <t>Residual, variable part</t>
        </is>
      </c>
      <c r="B13" s="18">
        <f>r_resid*(1-fixed_resid_share)</f>
        <v/>
      </c>
      <c r="C13" s="18">
        <f>r_resid*(1-fixed_resid_share)</f>
        <v/>
      </c>
      <c r="D13" s="18">
        <f>r_resid*(1-fixed_resid_share)</f>
        <v/>
      </c>
      <c r="E13" s="18">
        <f>r_resid*(1-fixed_resid_share)</f>
        <v/>
      </c>
      <c r="F13" s="18">
        <f>r_resid*(1-fixed_resid_share)</f>
        <v/>
      </c>
      <c r="G13" s="18">
        <f>r_resid*(1-fixed_resid_share)</f>
        <v/>
      </c>
      <c r="I13" s="8" t="inlineStr">
        <is>
          <t>per m²</t>
        </is>
      </c>
    </row>
    <row r="14">
      <c r="A14" s="8" t="inlineStr">
        <is>
          <t>Residual, fixed part</t>
        </is>
      </c>
      <c r="B14" s="18">
        <f>r_resid*fixed_resid_share*'Scenarios'!C9/B10</f>
        <v/>
      </c>
      <c r="C14" s="18">
        <f>r_resid*fixed_resid_share*'Scenarios'!C9/C10</f>
        <v/>
      </c>
      <c r="D14" s="18">
        <f>r_resid*fixed_resid_share*'Scenarios'!C9/D10</f>
        <v/>
      </c>
      <c r="E14" s="18">
        <f>r_resid*fixed_resid_share*'Scenarios'!C9/E10</f>
        <v/>
      </c>
      <c r="F14" s="18">
        <f>r_resid*fixed_resid_share*'Scenarios'!C9/F10</f>
        <v/>
      </c>
      <c r="G14" s="18">
        <f>r_resid*fixed_resid_share*'Scenarios'!C9/G10</f>
        <v/>
      </c>
      <c r="I14" s="8" t="inlineStr">
        <is>
          <t>fixed per site: falls as 1/area</t>
        </is>
      </c>
    </row>
    <row r="15">
      <c r="A15" s="8" t="inlineStr">
        <is>
          <t>Heat pump (DEA curve)</t>
        </is>
      </c>
      <c r="B15" s="18">
        <f>hp_load_w_per_m2/1000*hp_share*IF(hp_load_w_per_m2*hp_share*B10/1000000&lt;=1,dea_hp_1,IF(hp_load_w_per_m2*hp_share*B10/1000000&lt;=3,dea_hp_1+LN(hp_load_w_per_m2*hp_share*B10/1000000)/LN(3)*(dea_hp_3-dea_hp_1),IF(hp_load_w_per_m2*hp_share*B10/1000000&lt;=10,dea_hp_3+LN(hp_load_w_per_m2*hp_share*B10/1000000/3)/LN(10/3)*(dea_hp_10-dea_hp_3),dea_hp_10)))*1000*eur_gbp</f>
        <v/>
      </c>
      <c r="C15" s="18">
        <f>hp_load_w_per_m2/1000*hp_share*IF(hp_load_w_per_m2*hp_share*C10/1000000&lt;=1,dea_hp_1,IF(hp_load_w_per_m2*hp_share*C10/1000000&lt;=3,dea_hp_1+LN(hp_load_w_per_m2*hp_share*C10/1000000)/LN(3)*(dea_hp_3-dea_hp_1),IF(hp_load_w_per_m2*hp_share*C10/1000000&lt;=10,dea_hp_3+LN(hp_load_w_per_m2*hp_share*C10/1000000/3)/LN(10/3)*(dea_hp_10-dea_hp_3),dea_hp_10)))*1000*eur_gbp</f>
        <v/>
      </c>
      <c r="D15" s="18">
        <f>hp_load_w_per_m2/1000*hp_share*IF(hp_load_w_per_m2*hp_share*D10/1000000&lt;=1,dea_hp_1,IF(hp_load_w_per_m2*hp_share*D10/1000000&lt;=3,dea_hp_1+LN(hp_load_w_per_m2*hp_share*D10/1000000)/LN(3)*(dea_hp_3-dea_hp_1),IF(hp_load_w_per_m2*hp_share*D10/1000000&lt;=10,dea_hp_3+LN(hp_load_w_per_m2*hp_share*D10/1000000/3)/LN(10/3)*(dea_hp_10-dea_hp_3),dea_hp_10)))*1000*eur_gbp</f>
        <v/>
      </c>
      <c r="E15" s="18">
        <f>hp_load_w_per_m2/1000*hp_share*IF(hp_load_w_per_m2*hp_share*E10/1000000&lt;=1,dea_hp_1,IF(hp_load_w_per_m2*hp_share*E10/1000000&lt;=3,dea_hp_1+LN(hp_load_w_per_m2*hp_share*E10/1000000)/LN(3)*(dea_hp_3-dea_hp_1),IF(hp_load_w_per_m2*hp_share*E10/1000000&lt;=10,dea_hp_3+LN(hp_load_w_per_m2*hp_share*E10/1000000/3)/LN(10/3)*(dea_hp_10-dea_hp_3),dea_hp_10)))*1000*eur_gbp</f>
        <v/>
      </c>
      <c r="F15" s="18">
        <f>hp_load_w_per_m2/1000*hp_share*IF(hp_load_w_per_m2*hp_share*F10/1000000&lt;=1,dea_hp_1,IF(hp_load_w_per_m2*hp_share*F10/1000000&lt;=3,dea_hp_1+LN(hp_load_w_per_m2*hp_share*F10/1000000)/LN(3)*(dea_hp_3-dea_hp_1),IF(hp_load_w_per_m2*hp_share*F10/1000000&lt;=10,dea_hp_3+LN(hp_load_w_per_m2*hp_share*F10/1000000/3)/LN(10/3)*(dea_hp_10-dea_hp_3),dea_hp_10)))*1000*eur_gbp</f>
        <v/>
      </c>
      <c r="G15" s="18">
        <f>hp_load_w_per_m2/1000*hp_share*IF(hp_load_w_per_m2*hp_share*G10/1000000&lt;=1,dea_hp_1,IF(hp_load_w_per_m2*hp_share*G10/1000000&lt;=3,dea_hp_1+LN(hp_load_w_per_m2*hp_share*G10/1000000)/LN(3)*(dea_hp_3-dea_hp_1),IF(hp_load_w_per_m2*hp_share*G10/1000000&lt;=10,dea_hp_3+LN(hp_load_w_per_m2*hp_share*G10/1000000/3)/LN(10/3)*(dea_hp_10-dea_hp_3),dea_hp_10)))*1000*eur_gbp</f>
        <v/>
      </c>
      <c r="I15" s="8" t="inlineStr">
        <is>
          <t>per kW, cheaper per kW above 1 MW</t>
        </is>
      </c>
    </row>
    <row r="16">
      <c r="A16" s="8" t="inlineStr">
        <is>
          <t>Hot-water store</t>
        </is>
      </c>
      <c r="B16" s="18">
        <f>'Capex'!$C$17/'Scenarios'!C9</f>
        <v/>
      </c>
      <c r="C16" s="18">
        <f>'Capex'!$C$17/'Scenarios'!C9</f>
        <v/>
      </c>
      <c r="D16" s="18">
        <f>'Capex'!$C$17/'Scenarios'!C9</f>
        <v/>
      </c>
      <c r="E16" s="18">
        <f>'Capex'!$C$17/'Scenarios'!C9</f>
        <v/>
      </c>
      <c r="F16" s="18">
        <f>'Capex'!$C$17/'Scenarios'!C9</f>
        <v/>
      </c>
      <c r="G16" s="18">
        <f>'Capex'!$C$17/'Scenarios'!C9</f>
        <v/>
      </c>
      <c r="I16" s="8" t="inlineStr">
        <is>
          <t>per kWh (flat here; DEA tanks get cheaper with size)</t>
        </is>
      </c>
    </row>
    <row r="17">
      <c r="A17" s="8" t="inlineStr">
        <is>
          <t>HV import connection</t>
        </is>
      </c>
      <c r="B17" s="18">
        <f>hv_conn/B10</f>
        <v/>
      </c>
      <c r="C17" s="18">
        <f>hv_conn/C10</f>
        <v/>
      </c>
      <c r="D17" s="18">
        <f>hv_conn/D10</f>
        <v/>
      </c>
      <c r="E17" s="18">
        <f>hv_conn/E10</f>
        <v/>
      </c>
      <c r="F17" s="18">
        <f>hv_conn/F10</f>
        <v/>
      </c>
      <c r="G17" s="18">
        <f>hv_conn/G10</f>
        <v/>
      </c>
      <c r="I17" s="8" t="inlineStr">
        <is>
          <t>fixed per site (BP16: should step with kVA)</t>
        </is>
      </c>
    </row>
    <row r="18">
      <c r="A18" s="26" t="inlineStr">
        <is>
          <t>Subtotal</t>
        </is>
      </c>
      <c r="B18" s="41">
        <f>SUM(B11:B17)</f>
        <v/>
      </c>
      <c r="C18" s="41">
        <f>SUM(C11:C17)</f>
        <v/>
      </c>
      <c r="D18" s="41">
        <f>SUM(D11:D17)</f>
        <v/>
      </c>
      <c r="E18" s="41">
        <f>SUM(E11:E17)</f>
        <v/>
      </c>
      <c r="F18" s="41">
        <f>SUM(F11:F17)</f>
        <v/>
      </c>
      <c r="G18" s="41">
        <f>SUM(G11:G17)</f>
        <v/>
      </c>
    </row>
    <row r="19">
      <c r="A19" s="29" t="inlineStr">
        <is>
          <t>Greenhouse capex per m² incl. development + contingency</t>
        </is>
      </c>
      <c r="B19" s="42">
        <f>B18*(1+dev_frac+contingency)</f>
        <v/>
      </c>
      <c r="C19" s="42">
        <f>C18*(1+dev_frac+contingency)</f>
        <v/>
      </c>
      <c r="D19" s="42">
        <f>D18*(1+dev_frac+contingency)</f>
        <v/>
      </c>
      <c r="E19" s="42">
        <f>E18*(1+dev_frac+contingency)</f>
        <v/>
      </c>
      <c r="F19" s="42">
        <f>F18*(1+dev_frac+contingency)</f>
        <v/>
      </c>
      <c r="G19" s="42">
        <f>G18*(1+dev_frac+contingency)</f>
        <v/>
      </c>
    </row>
    <row r="20">
      <c r="A20" s="8" t="inlineStr">
        <is>
          <t>Change vs 1 ha</t>
        </is>
      </c>
      <c r="B20" s="32">
        <f>B19/$B$19-1</f>
        <v/>
      </c>
      <c r="C20" s="32">
        <f>C19/$B$19-1</f>
        <v/>
      </c>
      <c r="D20" s="32">
        <f>D19/$B$19-1</f>
        <v/>
      </c>
      <c r="E20" s="32">
        <f>E19/$B$19-1</f>
        <v/>
      </c>
      <c r="F20" s="32">
        <f>F19/$B$19-1</f>
        <v/>
      </c>
      <c r="G20" s="32">
        <f>G19/$B$19-1</f>
        <v/>
      </c>
    </row>
    <row r="22" ht="30" customHeight="1">
      <c r="A22" s="43" t="inlineStr">
        <is>
          <t>Read: at 0 % fixed residual and 0 % perimeter share this reproduces today's model, where only the HV connection and the heat pump curve give any economy of scale, which is why the size study found bigger houses no cheaper.</t>
        </is>
      </c>
    </row>
    <row r="23" ht="30" customHeight="1">
      <c r="A23" s="43" t="inlineStr">
        <is>
          <t>Evidence so far: Dutch growers consolidate onto 50-500 ha businesses for economies of scale (RaboResearch 2025, p. 6), but no free source quantifies capex vs size. KWIN-AGV gives model-nursery investments by size (paywalled).</t>
        </is>
      </c>
    </row>
    <row r="24" ht="30" customHeight="1">
      <c r="A24" s="43" t="inlineStr">
        <is>
          <t>Labour stays per m² (RaboResearch 2025 fig. 6: Dutch m² per annual work unit stable 2000-2023).</t>
        </is>
      </c>
    </row>
  </sheetData>
  <mergeCells count="3">
    <mergeCell ref="A23:I23"/>
    <mergeCell ref="A24:I24"/>
    <mergeCell ref="A22:I22"/>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40" customWidth="1" min="1" max="1"/>
    <col width="16" customWidth="1" min="2" max="2"/>
    <col width="18" customWidth="1" min="3" max="3"/>
    <col width="18" customWidth="1" min="4" max="4"/>
    <col width="22" customWidth="1" min="5" max="5"/>
    <col width="70" customWidth="1" min="6" max="6"/>
  </cols>
  <sheetData>
    <row r="1">
      <c r="A1" s="1" t="inlineStr">
        <is>
          <t>Capex-reduction levers</t>
        </is>
      </c>
    </row>
    <row r="2">
      <c r="A2" s="2" t="inlineStr">
        <is>
          <t>Modelled values link to Results. 'To test' rows are the work plan (HANDOFF BP13-BP19).</t>
        </is>
      </c>
    </row>
    <row r="4" ht="30" customHeight="1">
      <c r="A4" s="5" t="inlineStr">
        <is>
          <t>Lever</t>
        </is>
      </c>
      <c r="B4" s="5" t="inlineStr">
        <is>
          <t>Status</t>
        </is>
      </c>
      <c r="C4" s="5" t="inlineStr">
        <is>
          <t>Change in day-one spend</t>
        </is>
      </c>
      <c r="D4" s="5" t="inlineStr">
        <is>
          <t>Change in £/kg at 8 %</t>
        </is>
      </c>
      <c r="E4" s="5" t="inlineStr">
        <is>
          <t>Evidence</t>
        </is>
      </c>
      <c r="F4" s="5" t="inlineStr">
        <is>
          <t>Next step / caveat</t>
        </is>
      </c>
    </row>
    <row r="5" ht="30" customHeight="1">
      <c r="A5" s="4" t="inlineStr">
        <is>
          <t>LP-sized heat pump + electric peak boiler + store (double glass)</t>
        </is>
      </c>
      <c r="B5" s="30" t="inlineStr">
        <is>
          <t>modelled</t>
        </is>
      </c>
      <c r="C5" s="34">
        <f>'Results'!D8-'Results'!C8</f>
        <v/>
      </c>
      <c r="D5" s="38">
        <f>'Results'!D14-'Results'!C14</f>
        <v/>
      </c>
      <c r="E5" s="4" t="inlineStr">
        <is>
          <t>DEA ch. 40/41; Stanghellini §8.9</t>
        </is>
      </c>
      <c r="F5" s="4" t="inlineStr">
        <is>
          <t>Boiler also replaces the full-standby heat pump as cold-year / outage backup</t>
        </is>
      </c>
    </row>
    <row r="6" ht="30" customHeight="1">
      <c r="A6" s="4" t="inlineStr">
        <is>
          <t>Single glass + LP-sized heat pump + boiler + store</t>
        </is>
      </c>
      <c r="B6" s="30" t="inlineStr">
        <is>
          <t>modelled</t>
        </is>
      </c>
      <c r="C6" s="34">
        <f>'Results'!E8-'Results'!C8</f>
        <v/>
      </c>
      <c r="D6" s="38">
        <f>'Results'!E14-'Results'!C14</f>
        <v/>
      </c>
      <c r="E6" s="4" t="inlineStr">
        <is>
          <t>Model: yield +14 %, heat +74 %</t>
        </is>
      </c>
      <c r="F6" s="4" t="inlineStr">
        <is>
          <t>Rests on the crop model's light response; check with GreenLight / grower data</t>
        </is>
      </c>
    </row>
    <row r="7" ht="30" customHeight="1">
      <c r="A7" s="4" t="inlineStr">
        <is>
          <t>Private-wire PPA instead of owning the turbine</t>
        </is>
      </c>
      <c r="B7" s="30" t="inlineStr">
        <is>
          <t>modelled</t>
        </is>
      </c>
      <c r="C7" s="34">
        <f>'Results'!F8-'Results'!E8</f>
        <v/>
      </c>
      <c r="D7" s="38">
        <f>'Results'!F14-'Results'!E14</f>
        <v/>
      </c>
      <c r="E7" s="4" t="inlineStr">
        <is>
          <t>Savills 2025 PPA £80-120/MWh</t>
        </is>
      </c>
      <c r="F7" s="4" t="inlineStr">
        <is>
          <t>Needs an adjacent wind farm: Girvan (16 large turbines within 3.1 km), not Stranraer</t>
        </is>
      </c>
    </row>
    <row r="8" ht="30" customHeight="1">
      <c r="A8" s="4" t="inlineStr">
        <is>
          <t>Supplier quotes for placeholder items (glass, aluminium, pipe, screen)</t>
        </is>
      </c>
      <c r="B8" s="8" t="inlineStr">
        <is>
          <t>to test</t>
        </is>
      </c>
      <c r="C8" s="24" t="n"/>
      <c r="D8" s="33" t="n"/>
      <c r="E8" s="4" t="inlineStr">
        <is>
          <t>Placeholders ~46 % of structure</t>
        </is>
      </c>
      <c r="F8" s="4" t="inlineStr">
        <is>
          <t>Issue RFQ_SPEC.md; try quotes in 'Rates' (low column)</t>
        </is>
      </c>
    </row>
    <row r="9" ht="30" customHeight="1">
      <c r="A9" s="4" t="inlineStr">
        <is>
          <t>Itemise the £94/m² residual (climate computer, irrigation, install)</t>
        </is>
      </c>
      <c r="B9" s="8" t="inlineStr">
        <is>
          <t>itemised, unquoted</t>
        </is>
      </c>
      <c r="C9" s="24" t="n"/>
      <c r="D9" s="33" t="n"/>
      <c r="E9" s="4" t="inlineStr">
        <is>
          <t>data/residual_items.csv; climate computer from a Dutch installer price page (2026); the rest placeholder</t>
        </is>
      </c>
      <c r="F9" s="4" t="inlineStr">
        <is>
          <t>RFQ_SPEC §3.7 issued as a draft; 85 % of the residual is still a placeholder split, fixed share 17.7 %</t>
        </is>
      </c>
    </row>
    <row r="10" ht="30" customHeight="1">
      <c r="A10" s="4" t="inlineStr">
        <is>
          <t>Second-hand glasshouse, re-erected (vs new single glass)</t>
        </is>
      </c>
      <c r="B10" s="30" t="inlineStr">
        <is>
          <t>modelled</t>
        </is>
      </c>
      <c r="C10" s="34" t="n">
        <v>3908</v>
      </c>
      <c r="D10" s="38" t="n">
        <v>0.001</v>
      </c>
      <c r="E10" s="4" t="inlineStr">
        <is>
          <t>SAC/SRUC Table 11 purchase £60/m² (sourced); re-erection £25-50/m² and glass replacement are placeholders; the Avéro (2025) guideline could not be found</t>
        </is>
      </c>
      <c r="F10" s="4" t="inlineStr">
        <is>
          <t>Range at 8 %: -0.026 to +0.040 £/kg. Fit-out and re-erection eat the purchase saving; check Scottish wind/snow rating (EN 13031-1)</t>
        </is>
      </c>
    </row>
    <row r="11" ht="30" customHeight="1">
      <c r="A11" s="4" t="inlineStr">
        <is>
          <t>Basic glasshouse spec</t>
        </is>
      </c>
      <c r="B11" s="8" t="inlineStr">
        <is>
          <t>to test</t>
        </is>
      </c>
      <c r="C11" s="24" t="n"/>
      <c r="D11" s="33" t="n"/>
      <c r="E11" s="4" t="inlineStr">
        <is>
          <t>SAC/SRUC Table 11: £1M/ha basic vs £2M/ha commercial</t>
        </is>
      </c>
      <c r="F11" s="4" t="inlineStr">
        <is>
          <t>Lower yield / control</t>
        </is>
      </c>
    </row>
    <row r="12" ht="30" customHeight="1">
      <c r="A12" s="4" t="inlineStr">
        <is>
          <t>Larger site (economies of scale)</t>
        </is>
      </c>
      <c r="B12" s="8" t="inlineStr">
        <is>
          <t>modelled (see Scale)</t>
        </is>
      </c>
      <c r="C12" s="24" t="n"/>
      <c r="D12" s="33" t="n"/>
      <c r="E12" s="4" t="inlineStr">
        <is>
          <t>'Scale' sheet; residual_items.csv fixed share; geometric perimeter share</t>
        </is>
      </c>
      <c r="F12" s="4" t="inlineStr">
        <is>
          <t>Shares are estimates until quotes; size study rerun with the fixed residual (HANDOFF BP19d)</t>
        </is>
      </c>
    </row>
    <row r="13" ht="30" customHeight="1">
      <c r="A13" s="4" t="inlineStr">
        <is>
          <t>Phased build (phase 1 small, infrastructure sized for later)</t>
        </is>
      </c>
      <c r="B13" s="8" t="inlineStr">
        <is>
          <t>to test</t>
        </is>
      </c>
      <c r="C13" s="24" t="n"/>
      <c r="D13" s="33" t="n"/>
      <c r="E13" s="4" t="inlineStr">
        <is>
          <t>-</t>
        </is>
      </c>
      <c r="F13" s="4" t="inlineStr">
        <is>
          <t>Cuts day-one spend, raises £/m² of phase 1</t>
        </is>
      </c>
    </row>
    <row r="14" ht="30" customHeight="1">
      <c r="A14" s="4" t="inlineStr">
        <is>
          <t>Re-optimise design at 8 % (sweep was at 3.5 %)</t>
        </is>
      </c>
      <c r="B14" s="8" t="inlineStr">
        <is>
          <t>to test</t>
        </is>
      </c>
      <c r="C14" s="24" t="n"/>
      <c r="D14" s="33" t="n"/>
      <c r="E14" s="4" t="inlineStr">
        <is>
          <t>refine.py</t>
        </is>
      </c>
      <c r="F14" s="4" t="inlineStr">
        <is>
          <t>Cheap run (~2 min)</t>
        </is>
      </c>
    </row>
    <row r="15" ht="30" customHeight="1">
      <c r="A15" s="4" t="inlineStr">
        <is>
          <t>Lease heat pump / energy-as-a-service</t>
        </is>
      </c>
      <c r="B15" s="8" t="inlineStr">
        <is>
          <t>to test</t>
        </is>
      </c>
      <c r="C15" s="24" t="n"/>
      <c r="D15" s="33" t="n"/>
      <c r="E15" s="4" t="inlineStr">
        <is>
          <t>-</t>
        </is>
      </c>
      <c r="F15" s="4" t="inlineStr">
        <is>
          <t>Moves capex to opex; check supplier offers</t>
        </is>
      </c>
    </row>
    <row r="16" ht="30" customHeight="1">
      <c r="A16" s="4" t="inlineStr">
        <is>
          <t>Capital grants</t>
        </is>
      </c>
      <c r="B16" s="8" t="inlineStr">
        <is>
          <t>to test</t>
        </is>
      </c>
      <c r="C16" s="24" t="n"/>
      <c r="D16" s="33" t="n"/>
      <c r="E16" s="4" t="inlineStr">
        <is>
          <t>Scottish Government / Scottish Enterprise schemes</t>
        </is>
      </c>
      <c r="F16" s="4" t="inlineStr">
        <is>
          <t>Financing, not cost: list eligible schemes</t>
        </is>
      </c>
    </row>
    <row r="17" ht="30" customHeight="1">
      <c r="A17" s="4" t="inlineStr">
        <is>
          <t>Lower contingency after quotes (10 % -&gt; 5 %)</t>
        </is>
      </c>
      <c r="B17" s="8" t="inlineStr">
        <is>
          <t>to test</t>
        </is>
      </c>
      <c r="C17" s="24" t="n"/>
      <c r="D17" s="33" t="n"/>
      <c r="E17" s="4" t="inlineStr">
        <is>
          <t>Estimate class</t>
        </is>
      </c>
      <c r="F17" s="4" t="inlineStr">
        <is>
          <t>Only once quotes are in hand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14" customWidth="1" min="1" max="1"/>
    <col width="18" customWidth="1" min="2" max="2"/>
    <col width="18" customWidth="1" min="3" max="3"/>
    <col width="18" customWidth="1" min="4" max="4"/>
    <col width="70" customWidth="1" min="5" max="5"/>
  </cols>
  <sheetData>
    <row r="1">
      <c r="A1" s="1" t="inlineStr">
        <is>
          <t>Cucumber price by month</t>
        </is>
      </c>
    </row>
    <row r="2">
      <c r="A2" s="2" t="inlineStr">
        <is>
          <t>DEFRA wholesale fruit and vegetable prices, weekly average (https://www.gov.uk/government/statistical-data-sets/wholesale-fruit-and-vegetable-prices-weekly-average), file fruitvegprices-260928.csv, 2023-26 mean by month; months with &lt; 3 UK observations use the UK import CIF price (Comtrade 2023-25).</t>
        </is>
      </c>
    </row>
    <row r="4" ht="30" customHeight="1">
      <c r="A4" s="5" t="inlineStr">
        <is>
          <t>Month</t>
        </is>
      </c>
      <c r="B4" s="5" t="inlineStr">
        <is>
          <t>Price (GBP/kg)</t>
        </is>
      </c>
      <c r="C4" s="5" t="inlineStr">
        <is>
          <t>Harvest share</t>
        </is>
      </c>
      <c r="D4" s="5" t="inlineStr">
        <is>
          <t>Weighted</t>
        </is>
      </c>
      <c r="E4" s="5" t="inlineStr">
        <is>
          <t>Note</t>
        </is>
      </c>
    </row>
    <row r="5">
      <c r="A5" s="8" t="inlineStr">
        <is>
          <t>Jan</t>
        </is>
      </c>
      <c r="B5" s="14" t="n">
        <v>1.232</v>
      </c>
      <c r="C5" s="10" t="n">
        <v>0.009599999999999999</v>
      </c>
      <c r="D5" s="33">
        <f>B5*C5</f>
        <v/>
      </c>
      <c r="E5" s="8" t="inlineStr">
        <is>
          <t>DEFRA</t>
        </is>
      </c>
    </row>
    <row r="6">
      <c r="A6" s="8" t="inlineStr">
        <is>
          <t>Feb</t>
        </is>
      </c>
      <c r="B6" s="14" t="n">
        <v>1.341</v>
      </c>
      <c r="C6" s="10" t="n">
        <v>0.0159</v>
      </c>
      <c r="D6" s="33">
        <f>B6*C6</f>
        <v/>
      </c>
      <c r="E6" s="8" t="inlineStr">
        <is>
          <t>DEFRA</t>
        </is>
      </c>
    </row>
    <row r="7">
      <c r="A7" s="8" t="inlineStr">
        <is>
          <t>Mar</t>
        </is>
      </c>
      <c r="B7" s="14" t="n">
        <v>1.2</v>
      </c>
      <c r="C7" s="10" t="n">
        <v>0.0336</v>
      </c>
      <c r="D7" s="33">
        <f>B7*C7</f>
        <v/>
      </c>
      <c r="E7" s="8" t="inlineStr">
        <is>
          <t>DEFRA</t>
        </is>
      </c>
    </row>
    <row r="8">
      <c r="A8" s="8" t="inlineStr">
        <is>
          <t>Apr</t>
        </is>
      </c>
      <c r="B8" s="14" t="n">
        <v>0.947</v>
      </c>
      <c r="C8" s="10" t="n">
        <v>0.0643</v>
      </c>
      <c r="D8" s="33">
        <f>B8*C8</f>
        <v/>
      </c>
      <c r="E8" s="8" t="inlineStr">
        <is>
          <t>DEFRA</t>
        </is>
      </c>
    </row>
    <row r="9">
      <c r="A9" s="8" t="inlineStr">
        <is>
          <t>May</t>
        </is>
      </c>
      <c r="B9" s="14" t="n">
        <v>0.99</v>
      </c>
      <c r="C9" s="10" t="n">
        <v>0.1187</v>
      </c>
      <c r="D9" s="33">
        <f>B9*C9</f>
        <v/>
      </c>
      <c r="E9" s="8" t="inlineStr">
        <is>
          <t>DEFRA</t>
        </is>
      </c>
    </row>
    <row r="10">
      <c r="A10" s="8" t="inlineStr">
        <is>
          <t>Jun</t>
        </is>
      </c>
      <c r="B10" s="14" t="n">
        <v>0.9340000000000001</v>
      </c>
      <c r="C10" s="10" t="n">
        <v>0.1567</v>
      </c>
      <c r="D10" s="33">
        <f>B10*C10</f>
        <v/>
      </c>
      <c r="E10" s="8" t="inlineStr">
        <is>
          <t>DEFRA</t>
        </is>
      </c>
    </row>
    <row r="11">
      <c r="A11" s="8" t="inlineStr">
        <is>
          <t>Jul</t>
        </is>
      </c>
      <c r="B11" s="14" t="n">
        <v>1.316</v>
      </c>
      <c r="C11" s="10" t="n">
        <v>0.1801</v>
      </c>
      <c r="D11" s="33">
        <f>B11*C11</f>
        <v/>
      </c>
      <c r="E11" s="8" t="inlineStr">
        <is>
          <t>DEFRA</t>
        </is>
      </c>
    </row>
    <row r="12">
      <c r="A12" s="8" t="inlineStr">
        <is>
          <t>Aug</t>
        </is>
      </c>
      <c r="B12" s="14" t="n">
        <v>1.439</v>
      </c>
      <c r="C12" s="10" t="n">
        <v>0.1408</v>
      </c>
      <c r="D12" s="33">
        <f>B12*C12</f>
        <v/>
      </c>
      <c r="E12" s="8" t="inlineStr">
        <is>
          <t>DEFRA</t>
        </is>
      </c>
    </row>
    <row r="13">
      <c r="A13" s="8" t="inlineStr">
        <is>
          <t>Sep</t>
        </is>
      </c>
      <c r="B13" s="14" t="n">
        <v>1.31</v>
      </c>
      <c r="C13" s="10" t="n">
        <v>0.1318</v>
      </c>
      <c r="D13" s="33">
        <f>B13*C13</f>
        <v/>
      </c>
      <c r="E13" s="8" t="inlineStr">
        <is>
          <t>DEFRA</t>
        </is>
      </c>
    </row>
    <row r="14">
      <c r="A14" s="8" t="inlineStr">
        <is>
          <t>Oct</t>
        </is>
      </c>
      <c r="B14" s="14" t="n">
        <v>1.009</v>
      </c>
      <c r="C14" s="10" t="n">
        <v>0.0864</v>
      </c>
      <c r="D14" s="33">
        <f>B14*C14</f>
        <v/>
      </c>
      <c r="E14" s="8" t="inlineStr">
        <is>
          <t>DEFRA</t>
        </is>
      </c>
    </row>
    <row r="15">
      <c r="A15" s="8" t="inlineStr">
        <is>
          <t>Nov</t>
        </is>
      </c>
      <c r="B15" s="14" t="n">
        <v>1.032</v>
      </c>
      <c r="C15" s="10" t="n">
        <v>0.0392</v>
      </c>
      <c r="D15" s="33">
        <f>B15*C15</f>
        <v/>
      </c>
      <c r="E15" s="8" t="inlineStr">
        <is>
          <t>DEFRA</t>
        </is>
      </c>
    </row>
    <row r="16">
      <c r="A16" s="8" t="inlineStr">
        <is>
          <t>Dec</t>
        </is>
      </c>
      <c r="B16" s="14" t="n">
        <v>1.495</v>
      </c>
      <c r="C16" s="10" t="n">
        <v>0.0228</v>
      </c>
      <c r="D16" s="33">
        <f>B16*C16</f>
        <v/>
      </c>
      <c r="E16" s="8" t="inlineStr">
        <is>
          <t>import CIF (no UK market)</t>
        </is>
      </c>
    </row>
    <row r="17">
      <c r="A17" s="3" t="inlineStr">
        <is>
          <t>Total</t>
        </is>
      </c>
      <c r="C17" s="32">
        <f>SUM(C5:C16)</f>
        <v/>
      </c>
      <c r="D17" s="37">
        <f>SUMPRODUCT(B5:B16,C5:C16)/C17</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4" customWidth="1" min="1" max="1"/>
    <col width="130" customWidth="1" min="2" max="2"/>
  </cols>
  <sheetData>
    <row r="1">
      <c r="A1" s="1" t="inlineStr">
        <is>
          <t>Sources</t>
        </is>
      </c>
    </row>
    <row r="3">
      <c r="A3" s="8" t="n">
        <v>1</v>
      </c>
      <c r="B3" s="4" t="inlineStr">
        <is>
          <t>DEFRA, Wholesale fruit and vegetable prices, weekly average (accessed as fruitvegprices-260928.csv): https://www.gov.uk/government/statistical-data-sets/wholesale-fruit-and-vegetable-prices-weekly-average</t>
        </is>
      </c>
    </row>
    <row r="4">
      <c r="A4" s="8" t="n">
        <v>2</v>
      </c>
      <c r="B4" s="4" t="inlineStr">
        <is>
          <t>UN Comtrade public API, UK imports by HS code and month, 2023-25 (CIF); ECB rates via api.frankfurter.dev</t>
        </is>
      </c>
    </row>
    <row r="5">
      <c r="A5" s="8" t="n">
        <v>3</v>
      </c>
      <c r="B5" s="4" t="inlineStr">
        <is>
          <t>SAC/SRUC (Jan 2026), Developing SME-scale Controlled Environment Agriculture in the Highlands &amp; Islands, Table 11</t>
        </is>
      </c>
    </row>
    <row r="6">
      <c r="A6" s="8" t="n">
        <v>4</v>
      </c>
      <c r="B6" s="4" t="inlineStr">
        <is>
          <t>Danish Energy Agency, Technology Data for Generation of Electricity and District Heating (data sheets Aug 2026), ch. 40 heat pumps, ch. 41 electric boilers</t>
        </is>
      </c>
    </row>
    <row r="7">
      <c r="A7" s="8" t="n">
        <v>5</v>
      </c>
      <c r="B7" s="4" t="inlineStr">
        <is>
          <t>Danish Energy Agency, Technology Data for Energy Storage (hot-water tanks)</t>
        </is>
      </c>
    </row>
    <row r="8">
      <c r="A8" s="8" t="n">
        <v>6</v>
      </c>
      <c r="B8" s="4" t="inlineStr">
        <is>
          <t>Stanghellini C., van 't Ooster B., Heuvelink E. (2nd ed. 2023), Greenhouse Horticulture: Technology for Optimal Crop Production, Wageningen Academic: §8.8 buffers, §8.9 eq. 8.14 / fig. 8.14 heating economics</t>
        </is>
      </c>
    </row>
    <row r="9">
      <c r="A9" s="8" t="n">
        <v>7</v>
      </c>
      <c r="B9" s="4" t="inlineStr">
        <is>
          <t>RaboResearch (2025), Global Greenhouse Update: consolidation and scale (p. 6), labour productivity (fig. 6), investment classes (Table A2)</t>
        </is>
      </c>
    </row>
    <row r="10">
      <c r="A10" s="8" t="n">
        <v>8</v>
      </c>
      <c r="B10" s="4" t="inlineStr">
        <is>
          <t>BritFarmers, T. Harfield (2026), UK supermarket contracts vs wholesale pricing 2026 (trade guide): https://britfarmers.com/uk-supermarket-contracts-vs-wholesale-pricing-2026/</t>
        </is>
      </c>
    </row>
    <row r="11">
      <c r="A11" s="8" t="n">
        <v>9</v>
      </c>
      <c r="B11" s="4" t="inlineStr">
        <is>
          <t>Arup (2025) for DESNZ, Renewable Energy Generation Cost and Technical Assumptions 2024 (turbine O&amp;M, capacity factor)</t>
        </is>
      </c>
    </row>
    <row r="12">
      <c r="A12" s="8" t="n">
        <v>10</v>
      </c>
      <c r="B12" s="4" t="inlineStr">
        <is>
          <t>Envirotec (5 Mar 2026), Kilbirnie 2.5 MW community turbine (capex anchor)</t>
        </is>
      </c>
    </row>
    <row r="13">
      <c r="A13" s="8" t="n">
        <v>11</v>
      </c>
      <c r="B13" s="4" t="inlineStr">
        <is>
          <t>Savills (2025), Unlocking the power of private wire (PPA £80-120/MWh)</t>
        </is>
      </c>
    </row>
    <row r="14">
      <c r="A14" s="8" t="n">
        <v>12</v>
      </c>
      <c r="B14" s="4" t="inlineStr">
        <is>
          <t>SteelConstruction.info / BCIS steel cost model; mixdesigncalc.co.uk concrete; KWIN 2023 substrate; J. Cleaner Production (2022) tomato LCC</t>
        </is>
      </c>
    </row>
    <row r="15">
      <c r="A15" s="8" t="n">
        <v>13</v>
      </c>
      <c r="B15" s="4" t="inlineStr">
        <is>
          <t>HM Treasury (2022), The Green Book; NESO TNUoS tariffs 2025/26 and 2026/27</t>
        </is>
      </c>
    </row>
    <row r="16">
      <c r="A16" s="8" t="n">
        <v>14</v>
      </c>
      <c r="B16" s="4" t="inlineStr">
        <is>
          <t>Model: BEng-CEA-Heatpump/lca (greenhouse_fast, crop_gh, energy_grid, site_opt, costing); verification results/bplan/VERIFICATION.md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2026-10-07T09:23:49Z</dcterms:created>
  <dcterms:modified xmlns:dcterms="http://purl.org/dc/terms/" xmlns:xsi="http://www.w3.org/2001/XMLSchema-instance" xsi:type="dcterms:W3CDTF">2026-10-07T09:23:51Z</dcterms:modified>
</cp:coreProperties>
</file>