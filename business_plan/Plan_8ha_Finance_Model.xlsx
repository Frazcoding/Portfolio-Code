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lts" sheetId="1" state="visible" r:id="rId3"/>
    <sheet name="Inputs" sheetId="2" state="visible" r:id="rId4"/>
    <sheet name="Cashflo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<sst xmlns="http://schemas.openxmlformats.org/spreadsheetml/2006/main" count="195" uniqueCount="148">
  <si>
    <t xml:space="preserve">Plan finance model (8 ha): results</t>
  </si>
  <si>
    <t xml:space="preserve">Senior debt sized to DSCR 1.25 on the yield -15 % case (bplan_plan.LenderSizing), year-1 interest rolled up, full team in opex. Change blue cells on Inputs; the service schedule row is the sizing at the default inputs.</t>
  </si>
  <si>
    <t xml:space="preserve">Output</t>
  </si>
  <si>
    <t xml:space="preserve">Workbook</t>
  </si>
  <si>
    <t xml:space="preserve">finance.py (default inputs)</t>
  </si>
  <si>
    <t xml:space="preserve">Capex (GBP)</t>
  </si>
  <si>
    <t xml:space="preserve">Debt drawn (GBP)</t>
  </si>
  <si>
    <t xml:space="preserve">Equity at close (GBP)</t>
  </si>
  <si>
    <t xml:space="preserve">Project IRR, real pre-tax</t>
  </si>
  <si>
    <t xml:space="preserve">Equity IRR, nominal post-tax</t>
  </si>
  <si>
    <t xml:space="preserve">Equity IRR, real</t>
  </si>
  <si>
    <t xml:space="preserve">DSCR year 1</t>
  </si>
  <si>
    <t xml:space="preserve">Minimum DSCR</t>
  </si>
  <si>
    <t xml:space="preserve">Tax paid over 30 yr (GBP)</t>
  </si>
  <si>
    <t xml:space="preserve">Equity NPV at the hurdle (GBP)</t>
  </si>
  <si>
    <t xml:space="preserve">Lender test met (min DSCR &gt;= target)</t>
  </si>
  <si>
    <t xml:space="preserve">Price for a 12 % nominal equity return with the debt re-sized at each price (bplan_plan.LenderSizing).</t>
  </si>
  <si>
    <t xml:space="preserve">Minimum price (GBP/kg)</t>
  </si>
  <si>
    <t xml:space="preserve">Lead finance model: inputs (blue = input)</t>
  </si>
  <si>
    <t xml:space="preserve">Lit lead 8.0 ha, 150 umol, 4 PPA turbines, Stranraer; physics from lit_open.json; terms and tiers in finance.py</t>
  </si>
  <si>
    <t xml:space="preserve">Contract price, real (year-0 GBP/kg)</t>
  </si>
  <si>
    <t xml:space="preserve">default = import parity 1.552 x 0.90; CPI-indexed</t>
  </si>
  <si>
    <t xml:space="preserve">Import parity (GBP/kg)</t>
  </si>
  <si>
    <t xml:space="preserve">monthly CIF + GBP 0.162 haul, weighted by own harvest</t>
  </si>
  <si>
    <t xml:space="preserve">CPI</t>
  </si>
  <si>
    <t xml:space="preserve">Bank of England target</t>
  </si>
  <si>
    <t xml:space="preserve">Corporation tax</t>
  </si>
  <si>
    <t xml:space="preserve">main rate</t>
  </si>
  <si>
    <t xml:space="preserve">Output at full yield (kg/yr)</t>
  </si>
  <si>
    <t xml:space="preserve">model, before stresses</t>
  </si>
  <si>
    <t xml:space="preserve">Year-1 output share</t>
  </si>
  <si>
    <t xml:space="preserve">first-crop establishment</t>
  </si>
  <si>
    <t xml:space="preserve">Stress: yield x</t>
  </si>
  <si>
    <t xml:space="preserve">Stress: capex x (incl. replacements)</t>
  </si>
  <si>
    <t xml:space="preserve">Stress: power cost x</t>
  </si>
  <si>
    <t xml:space="preserve">CO2 price (GBP/kg)</t>
  </si>
  <si>
    <t xml:space="preserve">by-product CO2 (PLACEHOLDER); model base 0.06</t>
  </si>
  <si>
    <t xml:space="preserve">Stress: labour x</t>
  </si>
  <si>
    <t xml:space="preserve">Share of labour that scales with kg</t>
  </si>
  <si>
    <t xml:space="preserve">PLACEHOLDER</t>
  </si>
  <si>
    <t xml:space="preserve">Senior debt drawn at close (GBP)</t>
  </si>
  <si>
    <t xml:space="preserve">sized to DSCR 1.25 on the yield -15 % case</t>
  </si>
  <si>
    <t xml:space="preserve">Senior debt rate</t>
  </si>
  <si>
    <t xml:space="preserve">blend of GBP CIRR 5.81 % and bank 6.75 %, PLACEHOLDER</t>
  </si>
  <si>
    <t xml:space="preserve">Senior debt tenor (yr)</t>
  </si>
  <si>
    <t xml:space="preserve">year-1 interest rolled into the loan</t>
  </si>
  <si>
    <t xml:space="preserve">Lender fees, up front</t>
  </si>
  <si>
    <t xml:space="preserve">Capital grant (GBP)</t>
  </si>
  <si>
    <t xml:space="preserve">FDPSS up to GBP 0.4 M, packhouse only (GRANTS.md)</t>
  </si>
  <si>
    <t xml:space="preserve">Lender minimum DSCR</t>
  </si>
  <si>
    <t xml:space="preserve">PLACEHOLDER 1.20-1.35</t>
  </si>
  <si>
    <t xml:space="preserve">Equity hurdle, nominal post-tax</t>
  </si>
  <si>
    <t xml:space="preserve">Working capital (months of opex)</t>
  </si>
  <si>
    <t xml:space="preserve">DSRA (months of next year's debt service)</t>
  </si>
  <si>
    <t xml:space="preserve">Maintenance-reserve rate (real)</t>
  </si>
  <si>
    <t xml:space="preserve">levels the lumpy replacements for CFADS</t>
  </si>
  <si>
    <t xml:space="preserve">Special-rate first-year allowance</t>
  </si>
  <si>
    <t xml:space="preserve">CAA 2001 s.45S</t>
  </si>
  <si>
    <t xml:space="preserve">Special-rate writing-down allowance</t>
  </si>
  <si>
    <t xml:space="preserve">Capex lines (GBP, year 0)</t>
  </si>
  <si>
    <t xml:space="preserve">GBP</t>
  </si>
  <si>
    <t xml:space="preserve">Finance / allowance class</t>
  </si>
  <si>
    <t xml:space="preserve">steel</t>
  </si>
  <si>
    <t xml:space="preserve">ECA</t>
  </si>
  <si>
    <t xml:space="preserve">main</t>
  </si>
  <si>
    <t xml:space="preserve">aluminium</t>
  </si>
  <si>
    <t xml:space="preserve">glass_single_m2</t>
  </si>
  <si>
    <t xml:space="preserve">concrete</t>
  </si>
  <si>
    <t xml:space="preserve">pir_panel_m2</t>
  </si>
  <si>
    <t xml:space="preserve">heating_pipe_m</t>
  </si>
  <si>
    <t xml:space="preserve">special</t>
  </si>
  <si>
    <t xml:space="preserve">energy_screen_m2</t>
  </si>
  <si>
    <t xml:space="preserve">residual (SAC-calibrated: install, climate computer, irrigation, vents ...)</t>
  </si>
  <si>
    <t xml:space="preserve">heat_pump</t>
  </si>
  <si>
    <t xml:space="preserve">AF</t>
  </si>
  <si>
    <t xml:space="preserve">peak_boiler</t>
  </si>
  <si>
    <t xml:space="preserve">hot_water_store</t>
  </si>
  <si>
    <t xml:space="preserve">battery</t>
  </si>
  <si>
    <t xml:space="preserve">waste_heat_pipe</t>
  </si>
  <si>
    <t xml:space="preserve">-</t>
  </si>
  <si>
    <t xml:space="preserve">none</t>
  </si>
  <si>
    <t xml:space="preserve">hv_import_connection</t>
  </si>
  <si>
    <t xml:space="preserve">led_lighting</t>
  </si>
  <si>
    <t xml:space="preserve">development</t>
  </si>
  <si>
    <t xml:space="preserve">contingency</t>
  </si>
  <si>
    <t xml:space="preserve">Opex lines at full yield (real GBP/yr)</t>
  </si>
  <si>
    <t xml:space="preserve">electricity_grid</t>
  </si>
  <si>
    <t xml:space="preserve">elec</t>
  </si>
  <si>
    <t xml:space="preserve">electricity_wind_from_turbine</t>
  </si>
  <si>
    <t xml:space="preserve">network_charge_increase</t>
  </si>
  <si>
    <t xml:space="preserve">waste_heat_purchase</t>
  </si>
  <si>
    <t xml:space="preserve">fixed</t>
  </si>
  <si>
    <t xml:space="preserve">labour</t>
  </si>
  <si>
    <t xml:space="preserve">co2_purchased</t>
  </si>
  <si>
    <t xml:space="preserve">young_plants</t>
  </si>
  <si>
    <t xml:space="preserve">substrate</t>
  </si>
  <si>
    <t xml:space="preserve">fertiliser_protection_other</t>
  </si>
  <si>
    <t xml:space="preserve">packing</t>
  </si>
  <si>
    <t xml:space="preserve">per_kg</t>
  </si>
  <si>
    <t xml:space="preserve">haulage_to_rdc</t>
  </si>
  <si>
    <t xml:space="preserve">structure_om_insurance</t>
  </si>
  <si>
    <t xml:space="preserve">heat_pump_om</t>
  </si>
  <si>
    <t xml:space="preserve">store_om</t>
  </si>
  <si>
    <t xml:space="preserve">boiler_om</t>
  </si>
  <si>
    <t xml:space="preserve">overheads</t>
  </si>
  <si>
    <t xml:space="preserve">land_rent</t>
  </si>
  <si>
    <t xml:space="preserve">sales_commission</t>
  </si>
  <si>
    <t xml:space="preserve">staff_salaried_packhouse_oncall</t>
  </si>
  <si>
    <t xml:space="preserve">Residual value at year 30 (real GBP)</t>
  </si>
  <si>
    <t xml:space="preserve">replaced items, straight line</t>
  </si>
  <si>
    <t xml:space="preserve">Revenue the commission line was set on (GBP/yr)</t>
  </si>
  <si>
    <t xml:space="preserve">Replacement capex (real GBP) by year</t>
  </si>
  <si>
    <t xml:space="preserve">year</t>
  </si>
  <si>
    <t xml:space="preserve">Senior debt service schedule (nominal GBP) by year, from the lender sizing</t>
  </si>
  <si>
    <t xml:space="preserve">Plan finance model (8 ha): annual cash flow (nominal GBP unless marked real)</t>
  </si>
  <si>
    <t xml:space="preserve">CPI index</t>
  </si>
  <si>
    <t xml:space="preserve">Output share</t>
  </si>
  <si>
    <t xml:space="preserve">kg sold</t>
  </si>
  <si>
    <t xml:space="preserve">Revenue, real</t>
  </si>
  <si>
    <t xml:space="preserve">Opex, real</t>
  </si>
  <si>
    <t xml:space="preserve">Replacement capex, real</t>
  </si>
  <si>
    <t xml:space="preserve">Unlevered cash flow, real pre-tax</t>
  </si>
  <si>
    <t xml:space="preserve">EBITDA, nominal</t>
  </si>
  <si>
    <t xml:space="preserve">Opex, nominal</t>
  </si>
  <si>
    <t xml:space="preserve">Replacements, nominal</t>
  </si>
  <si>
    <t xml:space="preserve">Residual value, nominal</t>
  </si>
  <si>
    <t xml:space="preserve">Special-rate pool additions</t>
  </si>
  <si>
    <t xml:space="preserve">First-year allowance (special)</t>
  </si>
  <si>
    <t xml:space="preserve">Writing-down allowance (special)</t>
  </si>
  <si>
    <t xml:space="preserve">Special-rate pool, closing</t>
  </si>
  <si>
    <t xml:space="preserve">Capital allowances</t>
  </si>
  <si>
    <t xml:space="preserve">Senior debt, closing balance</t>
  </si>
  <si>
    <t xml:space="preserve">Senior debt interest (year 1 rolled up)</t>
  </si>
  <si>
    <t xml:space="preserve">Senior debt principal (service schedule less interest)</t>
  </si>
  <si>
    <t xml:space="preserve">Debt service</t>
  </si>
  <si>
    <t xml:space="preserve">Taxable profit before losses</t>
  </si>
  <si>
    <t xml:space="preserve">Losses used</t>
  </si>
  <si>
    <t xml:space="preserve">Losses carried forward</t>
  </si>
  <si>
    <t xml:space="preserve">Corporation tax paid</t>
  </si>
  <si>
    <t xml:space="preserve">Working capital balance</t>
  </si>
  <si>
    <t xml:space="preserve">Working-capital build</t>
  </si>
  <si>
    <t xml:space="preserve">Maintenance reserve</t>
  </si>
  <si>
    <t xml:space="preserve">CFADS</t>
  </si>
  <si>
    <t xml:space="preserve">DSCR</t>
  </si>
  <si>
    <t xml:space="preserve">DSRA balance</t>
  </si>
  <si>
    <t xml:space="preserve">DSRA build</t>
  </si>
  <si>
    <t xml:space="preserve">Cash flow to equity</t>
  </si>
  <si>
    <t xml:space="preserve">Cumulative equity cash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</si>
</sst>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;&quot;(£&quot;#,##0\);\-"/>
    <numFmt numFmtId="166" formatCode="0.0%;\(0.0%\);\-"/>
    <numFmt numFmtId="167" formatCode="#,##0.00;\(#,##0.00\);\-"/>
    <numFmt numFmtId="168" formatCode="#,##0;\(#,##0\);\-"/>
    <numFmt numFmtId="169" formatCode="\£#,##0.000;&quot;(£&quot;#,##0.0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f aca="false">SUM(Inputs!$C$30:$C$46)*Inputs!$C$11</f>
        <v>28656012.4447042</v>
      </c>
      <c r="C5" s="5" t="n">
        <v>28656012.4447042</v>
      </c>
    </row>
    <row r="6" customFormat="false" ht="15" hidden="false" customHeight="false" outlineLevel="0" collapsed="false">
      <c r="A6" s="0" t="s">
        <v>6</v>
      </c>
      <c r="B6" s="4" t="n">
        <f aca="false">Cashflow!C20</f>
        <v>19649527.2600979</v>
      </c>
      <c r="C6" s="5" t="n">
        <v>19649527.2600979</v>
      </c>
    </row>
    <row r="7" customFormat="false" ht="15" hidden="false" customHeight="false" outlineLevel="0" collapsed="false">
      <c r="A7" s="0" t="s">
        <v>7</v>
      </c>
      <c r="B7" s="4" t="n">
        <f aca="false">-Cashflow!C35</f>
        <v>11426285.7506133</v>
      </c>
      <c r="C7" s="5" t="n">
        <v>11426285.7506133</v>
      </c>
    </row>
    <row r="8" customFormat="false" ht="15" hidden="false" customHeight="false" outlineLevel="0" collapsed="false">
      <c r="A8" s="0" t="s">
        <v>8</v>
      </c>
      <c r="B8" s="6" t="n">
        <f aca="false">IRR(Cashflow!C10:AG10)</f>
        <v>0.135250002454228</v>
      </c>
      <c r="C8" s="7" t="n">
        <v>0.135250002454228</v>
      </c>
    </row>
    <row r="9" customFormat="false" ht="15" hidden="false" customHeight="false" outlineLevel="0" collapsed="false">
      <c r="A9" s="0" t="s">
        <v>9</v>
      </c>
      <c r="B9" s="6" t="n">
        <f aca="false">IRR(Cashflow!C35:AG35)</f>
        <v>0.201406230356212</v>
      </c>
      <c r="C9" s="7" t="n">
        <v>0.201406230356212</v>
      </c>
    </row>
    <row r="10" customFormat="false" ht="15" hidden="false" customHeight="false" outlineLevel="0" collapsed="false">
      <c r="A10" s="0" t="s">
        <v>10</v>
      </c>
      <c r="B10" s="6" t="n">
        <f aca="false">(1+B9)/(1+Inputs!$C$6)-1</f>
        <v>0.177849245447267</v>
      </c>
      <c r="C10" s="7" t="n">
        <v>0.177849245447267</v>
      </c>
    </row>
    <row r="11" customFormat="false" ht="15" hidden="false" customHeight="false" outlineLevel="0" collapsed="false">
      <c r="A11" s="0" t="s">
        <v>11</v>
      </c>
      <c r="B11" s="8" t="str">
        <f aca="false">Cashflow!D32</f>
        <v/>
      </c>
      <c r="C11" s="9"/>
    </row>
    <row r="12" customFormat="false" ht="15" hidden="false" customHeight="false" outlineLevel="0" collapsed="false">
      <c r="A12" s="0" t="s">
        <v>12</v>
      </c>
      <c r="B12" s="8" t="n">
        <f aca="false">MIN(Cashflow!D32:AG32)</f>
        <v>1.51999751347215</v>
      </c>
      <c r="C12" s="9" t="n">
        <v>1.51999751347215</v>
      </c>
    </row>
    <row r="13" customFormat="false" ht="15" hidden="false" customHeight="false" outlineLevel="0" collapsed="false">
      <c r="A13" s="0" t="s">
        <v>13</v>
      </c>
      <c r="B13" s="4" t="n">
        <f aca="false">SUM(Cashflow!C27:AG27)</f>
        <v>32906177.7227236</v>
      </c>
      <c r="C13" s="5" t="n">
        <v>32906177.7227236</v>
      </c>
    </row>
    <row r="14" customFormat="false" ht="15" hidden="false" customHeight="false" outlineLevel="0" collapsed="false">
      <c r="A14" s="0" t="s">
        <v>14</v>
      </c>
      <c r="B14" s="4" t="n">
        <f aca="false">NPV(Inputs!$C$22,Cashflow!D35:AG35)+Cashflow!C35</f>
        <v>8578720.94556516</v>
      </c>
      <c r="C14" s="5" t="n">
        <v>8578720.94556516</v>
      </c>
    </row>
    <row r="15" customFormat="false" ht="15" hidden="false" customHeight="false" outlineLevel="0" collapsed="false">
      <c r="A15" s="0" t="s">
        <v>15</v>
      </c>
      <c r="B15" s="10" t="str">
        <f aca="false">IF(B12&gt;=Inputs!$C$21,"yes","NO")</f>
        <v>yes</v>
      </c>
      <c r="C15" s="11"/>
    </row>
    <row r="17" customFormat="false" ht="15" hidden="false" customHeight="false" outlineLevel="0" collapsed="false">
      <c r="A17" s="2" t="s">
        <v>16</v>
      </c>
    </row>
    <row r="18" customFormat="false" ht="15" hidden="false" customHeight="false" outlineLevel="0" collapsed="false">
      <c r="A18" s="0" t="s">
        <v>17</v>
      </c>
      <c r="C18" s="12" t="n">
        <v>1.34002972533926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13" t="s">
        <v>20</v>
      </c>
      <c r="C4" s="14" t="n">
        <v>1.47424326790401</v>
      </c>
      <c r="D4" s="2" t="s">
        <v>21</v>
      </c>
    </row>
    <row r="5" customFormat="false" ht="15" hidden="false" customHeight="false" outlineLevel="0" collapsed="false">
      <c r="A5" s="13" t="s">
        <v>22</v>
      </c>
      <c r="C5" s="14" t="n">
        <v>1.55183501884633</v>
      </c>
      <c r="D5" s="2" t="s">
        <v>23</v>
      </c>
    </row>
    <row r="6" customFormat="false" ht="15" hidden="false" customHeight="false" outlineLevel="0" collapsed="false">
      <c r="A6" s="13" t="s">
        <v>24</v>
      </c>
      <c r="C6" s="15" t="n">
        <v>0.02</v>
      </c>
      <c r="D6" s="2" t="s">
        <v>25</v>
      </c>
    </row>
    <row r="7" customFormat="false" ht="15" hidden="false" customHeight="false" outlineLevel="0" collapsed="false">
      <c r="A7" s="13" t="s">
        <v>26</v>
      </c>
      <c r="C7" s="15" t="n">
        <v>0.25</v>
      </c>
      <c r="D7" s="2" t="s">
        <v>27</v>
      </c>
    </row>
    <row r="8" customFormat="false" ht="15" hidden="false" customHeight="false" outlineLevel="0" collapsed="false">
      <c r="A8" s="13" t="s">
        <v>28</v>
      </c>
      <c r="C8" s="16" t="n">
        <v>7131687.17289706</v>
      </c>
      <c r="D8" s="2" t="s">
        <v>29</v>
      </c>
    </row>
    <row r="9" customFormat="false" ht="15" hidden="false" customHeight="false" outlineLevel="0" collapsed="false">
      <c r="A9" s="13" t="s">
        <v>30</v>
      </c>
      <c r="C9" s="15" t="n">
        <v>0.8</v>
      </c>
      <c r="D9" s="2" t="s">
        <v>31</v>
      </c>
    </row>
    <row r="10" customFormat="false" ht="15" hidden="false" customHeight="false" outlineLevel="0" collapsed="false">
      <c r="A10" s="13" t="s">
        <v>32</v>
      </c>
      <c r="C10" s="17" t="n">
        <v>1</v>
      </c>
      <c r="D10" s="2"/>
    </row>
    <row r="11" customFormat="false" ht="15" hidden="false" customHeight="false" outlineLevel="0" collapsed="false">
      <c r="A11" s="13" t="s">
        <v>33</v>
      </c>
      <c r="C11" s="17" t="n">
        <v>1</v>
      </c>
      <c r="D11" s="2"/>
    </row>
    <row r="12" customFormat="false" ht="15" hidden="false" customHeight="false" outlineLevel="0" collapsed="false">
      <c r="A12" s="13" t="s">
        <v>34</v>
      </c>
      <c r="C12" s="17" t="n">
        <v>1</v>
      </c>
      <c r="D12" s="2"/>
    </row>
    <row r="13" customFormat="false" ht="15" hidden="false" customHeight="false" outlineLevel="0" collapsed="false">
      <c r="A13" s="13" t="s">
        <v>35</v>
      </c>
      <c r="C13" s="14" t="n">
        <v>0.06</v>
      </c>
      <c r="D13" s="2" t="s">
        <v>36</v>
      </c>
    </row>
    <row r="14" customFormat="false" ht="15" hidden="false" customHeight="false" outlineLevel="0" collapsed="false">
      <c r="A14" s="13" t="s">
        <v>37</v>
      </c>
      <c r="C14" s="17" t="n">
        <v>1</v>
      </c>
      <c r="D14" s="2"/>
    </row>
    <row r="15" customFormat="false" ht="15" hidden="false" customHeight="false" outlineLevel="0" collapsed="false">
      <c r="A15" s="13" t="s">
        <v>38</v>
      </c>
      <c r="C15" s="15" t="n">
        <v>0.5</v>
      </c>
      <c r="D15" s="2" t="s">
        <v>39</v>
      </c>
    </row>
    <row r="16" customFormat="false" ht="15" hidden="false" customHeight="false" outlineLevel="0" collapsed="false">
      <c r="A16" s="13" t="s">
        <v>40</v>
      </c>
      <c r="C16" s="18" t="n">
        <v>19649527.2600979</v>
      </c>
      <c r="D16" s="2" t="s">
        <v>41</v>
      </c>
    </row>
    <row r="17" customFormat="false" ht="15" hidden="false" customHeight="false" outlineLevel="0" collapsed="false">
      <c r="A17" s="13" t="s">
        <v>42</v>
      </c>
      <c r="C17" s="15" t="n">
        <v>0.065</v>
      </c>
      <c r="D17" s="2" t="s">
        <v>43</v>
      </c>
    </row>
    <row r="18" customFormat="false" ht="15" hidden="false" customHeight="false" outlineLevel="0" collapsed="false">
      <c r="A18" s="13" t="s">
        <v>44</v>
      </c>
      <c r="C18" s="16" t="n">
        <v>15</v>
      </c>
      <c r="D18" s="2" t="s">
        <v>45</v>
      </c>
    </row>
    <row r="19" customFormat="false" ht="15" hidden="false" customHeight="false" outlineLevel="0" collapsed="false">
      <c r="A19" s="13" t="s">
        <v>46</v>
      </c>
      <c r="C19" s="15" t="n">
        <v>0.015</v>
      </c>
      <c r="D19" s="2" t="s">
        <v>39</v>
      </c>
    </row>
    <row r="20" customFormat="false" ht="15" hidden="false" customHeight="false" outlineLevel="0" collapsed="false">
      <c r="A20" s="13" t="s">
        <v>47</v>
      </c>
      <c r="C20" s="18" t="n">
        <v>0</v>
      </c>
      <c r="D20" s="2" t="s">
        <v>48</v>
      </c>
    </row>
    <row r="21" customFormat="false" ht="15" hidden="false" customHeight="false" outlineLevel="0" collapsed="false">
      <c r="A21" s="13" t="s">
        <v>49</v>
      </c>
      <c r="C21" s="17" t="n">
        <v>1.25</v>
      </c>
      <c r="D21" s="2" t="s">
        <v>50</v>
      </c>
    </row>
    <row r="22" customFormat="false" ht="15" hidden="false" customHeight="false" outlineLevel="0" collapsed="false">
      <c r="A22" s="13" t="s">
        <v>51</v>
      </c>
      <c r="C22" s="15" t="n">
        <v>0.12</v>
      </c>
      <c r="D22" s="2" t="s">
        <v>39</v>
      </c>
    </row>
    <row r="23" customFormat="false" ht="15" hidden="false" customHeight="false" outlineLevel="0" collapsed="false">
      <c r="A23" s="13" t="s">
        <v>52</v>
      </c>
      <c r="C23" s="16" t="n">
        <v>2</v>
      </c>
      <c r="D23" s="2"/>
    </row>
    <row r="24" customFormat="false" ht="15" hidden="false" customHeight="false" outlineLevel="0" collapsed="false">
      <c r="A24" s="13" t="s">
        <v>53</v>
      </c>
      <c r="C24" s="16" t="n">
        <v>6</v>
      </c>
      <c r="D24" s="2"/>
    </row>
    <row r="25" customFormat="false" ht="15" hidden="false" customHeight="false" outlineLevel="0" collapsed="false">
      <c r="A25" s="13" t="s">
        <v>54</v>
      </c>
      <c r="C25" s="15" t="n">
        <v>0.06</v>
      </c>
      <c r="D25" s="2" t="s">
        <v>55</v>
      </c>
    </row>
    <row r="26" customFormat="false" ht="15" hidden="false" customHeight="false" outlineLevel="0" collapsed="false">
      <c r="A26" s="13" t="s">
        <v>56</v>
      </c>
      <c r="C26" s="15" t="n">
        <v>0.5</v>
      </c>
      <c r="D26" s="2" t="s">
        <v>57</v>
      </c>
    </row>
    <row r="27" customFormat="false" ht="15" hidden="false" customHeight="false" outlineLevel="0" collapsed="false">
      <c r="A27" s="13" t="s">
        <v>58</v>
      </c>
      <c r="C27" s="15" t="n">
        <v>0.06</v>
      </c>
      <c r="D27" s="2"/>
    </row>
    <row r="29" customFormat="false" ht="15" hidden="false" customHeight="false" outlineLevel="0" collapsed="false">
      <c r="A29" s="3" t="s">
        <v>59</v>
      </c>
      <c r="C29" s="3" t="s">
        <v>60</v>
      </c>
      <c r="D29" s="3" t="s">
        <v>61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18" t="n">
        <v>2036081.67222655</v>
      </c>
      <c r="D30" s="19" t="s">
        <v>64</v>
      </c>
    </row>
    <row r="31" customFormat="false" ht="15" hidden="false" customHeight="false" outlineLevel="0" collapsed="false">
      <c r="A31" s="0" t="s">
        <v>65</v>
      </c>
      <c r="B31" s="0" t="s">
        <v>63</v>
      </c>
      <c r="C31" s="18" t="n">
        <v>508761.666085863</v>
      </c>
      <c r="D31" s="19" t="s">
        <v>64</v>
      </c>
    </row>
    <row r="32" customFormat="false" ht="15" hidden="false" customHeight="false" outlineLevel="0" collapsed="false">
      <c r="A32" s="0" t="s">
        <v>66</v>
      </c>
      <c r="B32" s="0" t="s">
        <v>63</v>
      </c>
      <c r="C32" s="18" t="n">
        <v>2208166.95349767</v>
      </c>
      <c r="D32" s="19" t="s">
        <v>64</v>
      </c>
    </row>
    <row r="33" customFormat="false" ht="15" hidden="false" customHeight="false" outlineLevel="0" collapsed="false">
      <c r="A33" s="0" t="s">
        <v>67</v>
      </c>
      <c r="B33" s="0" t="s">
        <v>63</v>
      </c>
      <c r="C33" s="18" t="n">
        <v>157299.542387867</v>
      </c>
      <c r="D33" s="19" t="s">
        <v>64</v>
      </c>
    </row>
    <row r="34" customFormat="false" ht="15" hidden="false" customHeight="false" outlineLevel="0" collapsed="false">
      <c r="A34" s="0" t="s">
        <v>68</v>
      </c>
      <c r="B34" s="0" t="s">
        <v>63</v>
      </c>
      <c r="C34" s="18" t="n">
        <v>0</v>
      </c>
      <c r="D34" s="19" t="s">
        <v>64</v>
      </c>
    </row>
    <row r="35" customFormat="false" ht="15" hidden="false" customHeight="false" outlineLevel="0" collapsed="false">
      <c r="A35" s="0" t="s">
        <v>69</v>
      </c>
      <c r="B35" s="0" t="s">
        <v>63</v>
      </c>
      <c r="C35" s="18" t="n">
        <v>2880000.00288</v>
      </c>
      <c r="D35" s="19" t="s">
        <v>70</v>
      </c>
    </row>
    <row r="36" customFormat="false" ht="15" hidden="false" customHeight="false" outlineLevel="0" collapsed="false">
      <c r="A36" s="0" t="s">
        <v>71</v>
      </c>
      <c r="B36" s="0" t="s">
        <v>63</v>
      </c>
      <c r="C36" s="18" t="n">
        <v>480000.00048</v>
      </c>
      <c r="D36" s="19" t="s">
        <v>64</v>
      </c>
    </row>
    <row r="37" customFormat="false" ht="15" hidden="false" customHeight="false" outlineLevel="0" collapsed="false">
      <c r="A37" s="0" t="s">
        <v>72</v>
      </c>
      <c r="B37" s="0" t="s">
        <v>63</v>
      </c>
      <c r="C37" s="18" t="n">
        <v>6382108.6839652</v>
      </c>
      <c r="D37" s="19" t="s">
        <v>64</v>
      </c>
    </row>
    <row r="38" customFormat="false" ht="15" hidden="false" customHeight="false" outlineLevel="0" collapsed="false">
      <c r="A38" s="0" t="s">
        <v>73</v>
      </c>
      <c r="B38" s="0" t="s">
        <v>74</v>
      </c>
      <c r="C38" s="18" t="n">
        <v>5983326.11180204</v>
      </c>
      <c r="D38" s="19" t="s">
        <v>70</v>
      </c>
    </row>
    <row r="39" customFormat="false" ht="15" hidden="false" customHeight="false" outlineLevel="0" collapsed="false">
      <c r="A39" s="0" t="s">
        <v>75</v>
      </c>
      <c r="B39" s="0" t="s">
        <v>74</v>
      </c>
      <c r="C39" s="18" t="n">
        <v>0</v>
      </c>
      <c r="D39" s="19" t="s">
        <v>70</v>
      </c>
    </row>
    <row r="40" customFormat="false" ht="15" hidden="false" customHeight="false" outlineLevel="0" collapsed="false">
      <c r="A40" s="0" t="s">
        <v>76</v>
      </c>
      <c r="B40" s="0" t="s">
        <v>74</v>
      </c>
      <c r="C40" s="18" t="n">
        <v>1138627.05566192</v>
      </c>
      <c r="D40" s="19" t="s">
        <v>70</v>
      </c>
    </row>
    <row r="41" customFormat="false" ht="15" hidden="false" customHeight="false" outlineLevel="0" collapsed="false">
      <c r="A41" s="0" t="s">
        <v>77</v>
      </c>
      <c r="B41" s="0" t="s">
        <v>74</v>
      </c>
      <c r="C41" s="18" t="n">
        <v>0</v>
      </c>
      <c r="D41" s="19" t="s">
        <v>70</v>
      </c>
    </row>
    <row r="42" customFormat="false" ht="15" hidden="false" customHeight="false" outlineLevel="0" collapsed="false">
      <c r="A42" s="0" t="s">
        <v>78</v>
      </c>
      <c r="B42" s="0" t="s">
        <v>79</v>
      </c>
      <c r="C42" s="18" t="n">
        <v>0</v>
      </c>
      <c r="D42" s="19" t="s">
        <v>80</v>
      </c>
    </row>
    <row r="43" customFormat="false" ht="15" hidden="false" customHeight="false" outlineLevel="0" collapsed="false">
      <c r="A43" s="0" t="s">
        <v>81</v>
      </c>
      <c r="B43" s="0" t="s">
        <v>79</v>
      </c>
      <c r="C43" s="18" t="n">
        <v>1083900</v>
      </c>
      <c r="D43" s="19" t="s">
        <v>80</v>
      </c>
    </row>
    <row r="44" customFormat="false" ht="15" hidden="false" customHeight="false" outlineLevel="0" collapsed="false">
      <c r="A44" s="0" t="s">
        <v>82</v>
      </c>
      <c r="B44" s="0" t="s">
        <v>74</v>
      </c>
      <c r="C44" s="18" t="n">
        <v>2060000.00206</v>
      </c>
      <c r="D44" s="19" t="s">
        <v>70</v>
      </c>
    </row>
    <row r="45" customFormat="false" ht="15" hidden="false" customHeight="false" outlineLevel="0" collapsed="false">
      <c r="A45" s="0" t="s">
        <v>83</v>
      </c>
      <c r="B45" s="0" t="s">
        <v>79</v>
      </c>
      <c r="C45" s="18" t="n">
        <v>1245913.58455236</v>
      </c>
      <c r="D45" s="19" t="s">
        <v>80</v>
      </c>
    </row>
    <row r="46" customFormat="false" ht="15" hidden="false" customHeight="false" outlineLevel="0" collapsed="false">
      <c r="A46" s="0" t="s">
        <v>84</v>
      </c>
      <c r="B46" s="0" t="s">
        <v>79</v>
      </c>
      <c r="C46" s="18" t="n">
        <v>2491827.16910471</v>
      </c>
      <c r="D46" s="19" t="s">
        <v>84</v>
      </c>
    </row>
    <row r="48" customFormat="false" ht="15" hidden="false" customHeight="false" outlineLevel="0" collapsed="false">
      <c r="A48" s="3" t="s">
        <v>85</v>
      </c>
    </row>
    <row r="49" customFormat="false" ht="15" hidden="false" customHeight="false" outlineLevel="0" collapsed="false">
      <c r="A49" s="0" t="s">
        <v>86</v>
      </c>
      <c r="C49" s="18" t="n">
        <v>812299.660971929</v>
      </c>
      <c r="D49" s="19" t="s">
        <v>87</v>
      </c>
    </row>
    <row r="50" customFormat="false" ht="15" hidden="false" customHeight="false" outlineLevel="0" collapsed="false">
      <c r="A50" s="0" t="s">
        <v>88</v>
      </c>
      <c r="C50" s="18" t="n">
        <v>1341690.39588206</v>
      </c>
      <c r="D50" s="19" t="s">
        <v>87</v>
      </c>
    </row>
    <row r="51" customFormat="false" ht="15" hidden="false" customHeight="false" outlineLevel="0" collapsed="false">
      <c r="A51" s="0" t="s">
        <v>89</v>
      </c>
      <c r="C51" s="18" t="n">
        <v>77128.15</v>
      </c>
      <c r="D51" s="19" t="s">
        <v>87</v>
      </c>
    </row>
    <row r="52" customFormat="false" ht="15" hidden="false" customHeight="false" outlineLevel="0" collapsed="false">
      <c r="A52" s="0" t="s">
        <v>90</v>
      </c>
      <c r="C52" s="18" t="n">
        <v>0</v>
      </c>
      <c r="D52" s="19" t="s">
        <v>91</v>
      </c>
    </row>
    <row r="53" customFormat="false" ht="15" hidden="false" customHeight="false" outlineLevel="0" collapsed="false">
      <c r="A53" s="0" t="s">
        <v>92</v>
      </c>
      <c r="C53" s="18" t="n">
        <v>1205667.08306398</v>
      </c>
      <c r="D53" s="19" t="s">
        <v>92</v>
      </c>
    </row>
    <row r="54" customFormat="false" ht="15" hidden="false" customHeight="false" outlineLevel="0" collapsed="false">
      <c r="A54" s="0" t="s">
        <v>93</v>
      </c>
      <c r="C54" s="18" t="n">
        <v>235788.894092575</v>
      </c>
      <c r="D54" s="19" t="s">
        <v>93</v>
      </c>
    </row>
    <row r="55" customFormat="false" ht="15" hidden="false" customHeight="false" outlineLevel="0" collapsed="false">
      <c r="A55" s="0" t="s">
        <v>94</v>
      </c>
      <c r="C55" s="18" t="n">
        <v>263200.0002632</v>
      </c>
      <c r="D55" s="19" t="s">
        <v>91</v>
      </c>
    </row>
    <row r="56" customFormat="false" ht="15" hidden="false" customHeight="false" outlineLevel="0" collapsed="false">
      <c r="A56" s="0" t="s">
        <v>95</v>
      </c>
      <c r="C56" s="18" t="n">
        <v>56400.0000564</v>
      </c>
      <c r="D56" s="19" t="s">
        <v>91</v>
      </c>
    </row>
    <row r="57" customFormat="false" ht="15" hidden="false" customHeight="false" outlineLevel="0" collapsed="false">
      <c r="A57" s="0" t="s">
        <v>96</v>
      </c>
      <c r="C57" s="18" t="n">
        <v>150400.0001504</v>
      </c>
      <c r="D57" s="19" t="s">
        <v>91</v>
      </c>
    </row>
    <row r="58" customFormat="false" ht="15" hidden="false" customHeight="false" outlineLevel="0" collapsed="false">
      <c r="A58" s="0" t="s">
        <v>97</v>
      </c>
      <c r="C58" s="18" t="n">
        <v>356584.358644853</v>
      </c>
      <c r="D58" s="19" t="s">
        <v>98</v>
      </c>
    </row>
    <row r="59" customFormat="false" ht="15" hidden="false" customHeight="false" outlineLevel="0" collapsed="false">
      <c r="A59" s="0" t="s">
        <v>99</v>
      </c>
      <c r="C59" s="18" t="n">
        <v>0</v>
      </c>
      <c r="D59" s="19" t="s">
        <v>98</v>
      </c>
    </row>
    <row r="60" customFormat="false" ht="15" hidden="false" customHeight="false" outlineLevel="0" collapsed="false">
      <c r="A60" s="0" t="s">
        <v>100</v>
      </c>
      <c r="C60" s="18" t="n">
        <v>293048.370430463</v>
      </c>
      <c r="D60" s="19" t="s">
        <v>91</v>
      </c>
    </row>
    <row r="61" customFormat="false" ht="15" hidden="false" customHeight="false" outlineLevel="0" collapsed="false">
      <c r="A61" s="0" t="s">
        <v>101</v>
      </c>
      <c r="C61" s="18" t="n">
        <v>12475.4989133769</v>
      </c>
      <c r="D61" s="19" t="s">
        <v>91</v>
      </c>
    </row>
    <row r="62" customFormat="false" ht="15" hidden="false" customHeight="false" outlineLevel="0" collapsed="false">
      <c r="A62" s="0" t="s">
        <v>102</v>
      </c>
      <c r="C62" s="18" t="n">
        <v>3161.23028479992</v>
      </c>
      <c r="D62" s="19" t="s">
        <v>91</v>
      </c>
    </row>
    <row r="63" customFormat="false" ht="15" hidden="false" customHeight="false" outlineLevel="0" collapsed="false">
      <c r="A63" s="0" t="s">
        <v>103</v>
      </c>
      <c r="C63" s="18" t="n">
        <v>0</v>
      </c>
      <c r="D63" s="19" t="s">
        <v>91</v>
      </c>
    </row>
    <row r="64" customFormat="false" ht="15" hidden="false" customHeight="false" outlineLevel="0" collapsed="false">
      <c r="A64" s="0" t="s">
        <v>104</v>
      </c>
      <c r="C64" s="18" t="n">
        <v>240000.00024</v>
      </c>
      <c r="D64" s="19" t="s">
        <v>91</v>
      </c>
    </row>
    <row r="65" customFormat="false" ht="15" hidden="false" customHeight="false" outlineLevel="0" collapsed="false">
      <c r="A65" s="0" t="s">
        <v>105</v>
      </c>
      <c r="C65" s="18" t="n">
        <v>10400.0000104</v>
      </c>
      <c r="D65" s="19" t="s">
        <v>91</v>
      </c>
    </row>
    <row r="66" customFormat="false" ht="15" hidden="false" customHeight="false" outlineLevel="0" collapsed="false">
      <c r="A66" s="0" t="s">
        <v>106</v>
      </c>
      <c r="C66" s="18" t="n">
        <v>0</v>
      </c>
      <c r="D66" s="19" t="s">
        <v>106</v>
      </c>
    </row>
    <row r="67" customFormat="false" ht="15" hidden="false" customHeight="false" outlineLevel="0" collapsed="false">
      <c r="A67" s="0" t="s">
        <v>107</v>
      </c>
      <c r="C67" s="18" t="n">
        <v>1098091.82283861</v>
      </c>
      <c r="D67" s="19" t="s">
        <v>91</v>
      </c>
    </row>
    <row r="69" customFormat="false" ht="15" hidden="false" customHeight="false" outlineLevel="0" collapsed="false">
      <c r="A69" s="13" t="s">
        <v>108</v>
      </c>
      <c r="C69" s="18" t="n">
        <v>5318503.27977206</v>
      </c>
      <c r="D69" s="2" t="s">
        <v>109</v>
      </c>
    </row>
    <row r="70" customFormat="false" ht="15" hidden="false" customHeight="false" outlineLevel="0" collapsed="false">
      <c r="A70" s="13" t="s">
        <v>110</v>
      </c>
      <c r="C70" s="18" t="n">
        <v>7226286.86983614</v>
      </c>
      <c r="D70" s="2"/>
    </row>
    <row r="72" customFormat="false" ht="15" hidden="false" customHeight="false" outlineLevel="0" collapsed="false">
      <c r="A72" s="3" t="s">
        <v>111</v>
      </c>
    </row>
    <row r="73" customFormat="false" ht="15" hidden="false" customHeight="false" outlineLevel="0" collapsed="false">
      <c r="A73" s="0" t="s">
        <v>112</v>
      </c>
      <c r="E73" s="0" t="n">
        <v>0</v>
      </c>
      <c r="F73" s="0" t="n">
        <v>1</v>
      </c>
      <c r="G73" s="0" t="n">
        <v>2</v>
      </c>
      <c r="H73" s="0" t="n">
        <v>3</v>
      </c>
      <c r="I73" s="0" t="n">
        <v>4</v>
      </c>
      <c r="J73" s="0" t="n">
        <v>5</v>
      </c>
      <c r="K73" s="0" t="n">
        <v>6</v>
      </c>
      <c r="L73" s="0" t="n">
        <v>7</v>
      </c>
      <c r="M73" s="0" t="n">
        <v>8</v>
      </c>
      <c r="N73" s="0" t="n">
        <v>9</v>
      </c>
      <c r="O73" s="0" t="n">
        <v>10</v>
      </c>
      <c r="P73" s="0" t="n">
        <v>11</v>
      </c>
      <c r="Q73" s="0" t="n">
        <v>12</v>
      </c>
      <c r="R73" s="0" t="n">
        <v>13</v>
      </c>
      <c r="S73" s="0" t="n">
        <v>14</v>
      </c>
      <c r="T73" s="0" t="n">
        <v>15</v>
      </c>
      <c r="U73" s="0" t="n">
        <v>16</v>
      </c>
      <c r="V73" s="0" t="n">
        <v>17</v>
      </c>
      <c r="W73" s="0" t="n">
        <v>18</v>
      </c>
      <c r="X73" s="0" t="n">
        <v>19</v>
      </c>
      <c r="Y73" s="0" t="n">
        <v>20</v>
      </c>
      <c r="Z73" s="0" t="n">
        <v>21</v>
      </c>
      <c r="AA73" s="0" t="n">
        <v>22</v>
      </c>
      <c r="AB73" s="0" t="n">
        <v>23</v>
      </c>
      <c r="AC73" s="0" t="n">
        <v>24</v>
      </c>
      <c r="AD73" s="0" t="n">
        <v>25</v>
      </c>
      <c r="AE73" s="0" t="n">
        <v>26</v>
      </c>
      <c r="AF73" s="0" t="n">
        <v>27</v>
      </c>
      <c r="AG73" s="0" t="n">
        <v>28</v>
      </c>
      <c r="AH73" s="0" t="n">
        <v>29</v>
      </c>
      <c r="AI73" s="0" t="n">
        <v>30</v>
      </c>
    </row>
    <row r="74" customFormat="false" ht="15" hidden="false" customHeight="false" outlineLevel="0" collapsed="false">
      <c r="A74" s="0" t="s">
        <v>60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6" t="n">
        <v>0</v>
      </c>
      <c r="K74" s="16" t="n">
        <v>0</v>
      </c>
      <c r="L74" s="16" t="n">
        <v>0</v>
      </c>
      <c r="M74" s="16" t="n">
        <v>0</v>
      </c>
      <c r="N74" s="16" t="n">
        <v>0</v>
      </c>
      <c r="O74" s="16" t="n">
        <v>1224579.34694261</v>
      </c>
      <c r="P74" s="16" t="n">
        <v>0</v>
      </c>
      <c r="Q74" s="16" t="n">
        <v>0</v>
      </c>
      <c r="R74" s="16" t="n">
        <v>0</v>
      </c>
      <c r="S74" s="16" t="n">
        <v>0</v>
      </c>
      <c r="T74" s="16" t="n">
        <v>2667819.87672335</v>
      </c>
      <c r="U74" s="16" t="n">
        <v>0</v>
      </c>
      <c r="V74" s="16" t="n">
        <v>0</v>
      </c>
      <c r="W74" s="16" t="n">
        <v>0</v>
      </c>
      <c r="X74" s="16" t="n">
        <v>0</v>
      </c>
      <c r="Y74" s="16" t="n">
        <v>2288264.12760347</v>
      </c>
      <c r="Z74" s="16" t="n">
        <v>0</v>
      </c>
      <c r="AA74" s="16" t="n">
        <v>0</v>
      </c>
      <c r="AB74" s="16" t="n">
        <v>0</v>
      </c>
      <c r="AC74" s="16" t="n">
        <v>0</v>
      </c>
      <c r="AD74" s="16" t="n">
        <v>5983326.11180204</v>
      </c>
      <c r="AE74" s="16" t="n">
        <v>0</v>
      </c>
      <c r="AF74" s="16" t="n">
        <v>0</v>
      </c>
      <c r="AG74" s="16" t="n">
        <v>0</v>
      </c>
      <c r="AH74" s="16" t="n">
        <v>0</v>
      </c>
      <c r="AI74" s="16" t="n">
        <v>0</v>
      </c>
    </row>
    <row r="76" customFormat="false" ht="15" hidden="false" customHeight="false" outlineLevel="0" collapsed="false">
      <c r="A76" s="3" t="s">
        <v>113</v>
      </c>
    </row>
    <row r="77" customFormat="false" ht="15" hidden="false" customHeight="false" outlineLevel="0" collapsed="false">
      <c r="E77" s="16" t="n">
        <v>0</v>
      </c>
      <c r="F77" s="16" t="n">
        <v>0</v>
      </c>
      <c r="G77" s="16" t="n">
        <v>2181208.99221236</v>
      </c>
      <c r="H77" s="16" t="n">
        <v>2224833.17205661</v>
      </c>
      <c r="I77" s="16" t="n">
        <v>2269329.83549774</v>
      </c>
      <c r="J77" s="16" t="n">
        <v>2314716.43220769</v>
      </c>
      <c r="K77" s="16" t="n">
        <v>2361010.76085185</v>
      </c>
      <c r="L77" s="16" t="n">
        <v>2408230.97606888</v>
      </c>
      <c r="M77" s="16" t="n">
        <v>2456395.59559026</v>
      </c>
      <c r="N77" s="16" t="n">
        <v>2505523.50750207</v>
      </c>
      <c r="O77" s="16" t="n">
        <v>2555633.97765211</v>
      </c>
      <c r="P77" s="16" t="n">
        <v>2565009.09003885</v>
      </c>
      <c r="Q77" s="16" t="n">
        <v>2059584.76234153</v>
      </c>
      <c r="R77" s="16" t="n">
        <v>2074667.69768205</v>
      </c>
      <c r="S77" s="16" t="n">
        <v>2089154.21712989</v>
      </c>
      <c r="T77" s="16" t="n">
        <v>2483554.75401634</v>
      </c>
      <c r="U77" s="16" t="n">
        <v>0</v>
      </c>
      <c r="V77" s="16" t="n">
        <v>0</v>
      </c>
      <c r="W77" s="16" t="n">
        <v>0</v>
      </c>
      <c r="X77" s="16" t="n">
        <v>0</v>
      </c>
      <c r="Y77" s="16" t="n">
        <v>0</v>
      </c>
      <c r="Z77" s="16" t="n">
        <v>0</v>
      </c>
      <c r="AA77" s="16" t="n">
        <v>0</v>
      </c>
      <c r="AB77" s="16" t="n">
        <v>0</v>
      </c>
      <c r="AC77" s="16" t="n">
        <v>0</v>
      </c>
      <c r="AD77" s="16" t="n">
        <v>0</v>
      </c>
      <c r="AE77" s="16" t="n">
        <v>0</v>
      </c>
      <c r="AF77" s="16" t="n">
        <v>0</v>
      </c>
      <c r="AG77" s="16" t="n">
        <v>0</v>
      </c>
      <c r="AH77" s="16" t="n">
        <v>0</v>
      </c>
      <c r="AI77" s="1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3" min="3" style="0" width="12"/>
  </cols>
  <sheetData>
    <row r="1" customFormat="false" ht="17.35" hidden="false" customHeight="false" outlineLevel="0" collapsed="false">
      <c r="A1" s="1" t="s">
        <v>114</v>
      </c>
    </row>
    <row r="3" customFormat="false" ht="15" hidden="false" customHeight="false" outlineLevel="0" collapsed="false">
      <c r="A3" s="13"/>
      <c r="C3" s="20" t="n">
        <v>0</v>
      </c>
      <c r="D3" s="20" t="n">
        <v>1</v>
      </c>
      <c r="E3" s="20" t="n">
        <v>2</v>
      </c>
      <c r="F3" s="20" t="n">
        <v>3</v>
      </c>
      <c r="G3" s="20" t="n">
        <v>4</v>
      </c>
      <c r="H3" s="20" t="n">
        <v>5</v>
      </c>
      <c r="I3" s="20" t="n">
        <v>6</v>
      </c>
      <c r="J3" s="20" t="n">
        <v>7</v>
      </c>
      <c r="K3" s="20" t="n">
        <v>8</v>
      </c>
      <c r="L3" s="20" t="n">
        <v>9</v>
      </c>
      <c r="M3" s="20" t="n">
        <v>10</v>
      </c>
      <c r="N3" s="20" t="n">
        <v>11</v>
      </c>
      <c r="O3" s="20" t="n">
        <v>12</v>
      </c>
      <c r="P3" s="20" t="n">
        <v>13</v>
      </c>
      <c r="Q3" s="20" t="n">
        <v>14</v>
      </c>
      <c r="R3" s="20" t="n">
        <v>15</v>
      </c>
      <c r="S3" s="20" t="n">
        <v>16</v>
      </c>
      <c r="T3" s="20" t="n">
        <v>17</v>
      </c>
      <c r="U3" s="20" t="n">
        <v>18</v>
      </c>
      <c r="V3" s="20" t="n">
        <v>19</v>
      </c>
      <c r="W3" s="20" t="n">
        <v>20</v>
      </c>
      <c r="X3" s="20" t="n">
        <v>21</v>
      </c>
      <c r="Y3" s="20" t="n">
        <v>22</v>
      </c>
      <c r="Z3" s="20" t="n">
        <v>23</v>
      </c>
      <c r="AA3" s="20" t="n">
        <v>24</v>
      </c>
      <c r="AB3" s="20" t="n">
        <v>25</v>
      </c>
      <c r="AC3" s="20" t="n">
        <v>26</v>
      </c>
      <c r="AD3" s="20" t="n">
        <v>27</v>
      </c>
      <c r="AE3" s="20" t="n">
        <v>28</v>
      </c>
      <c r="AF3" s="20" t="n">
        <v>29</v>
      </c>
      <c r="AG3" s="20" t="n">
        <v>30</v>
      </c>
    </row>
    <row r="4" customFormat="false" ht="15" hidden="false" customHeight="false" outlineLevel="0" collapsed="false">
      <c r="A4" s="13" t="s">
        <v>115</v>
      </c>
      <c r="C4" s="20" t="n">
        <f aca="false">(1+Inputs!$C$6)^C3</f>
        <v>1</v>
      </c>
      <c r="D4" s="20" t="n">
        <f aca="false">(1+Inputs!$C$6)^D3</f>
        <v>1.02</v>
      </c>
      <c r="E4" s="20" t="n">
        <f aca="false">(1+Inputs!$C$6)^E3</f>
        <v>1.0404</v>
      </c>
      <c r="F4" s="20" t="n">
        <f aca="false">(1+Inputs!$C$6)^F3</f>
        <v>1.061208</v>
      </c>
      <c r="G4" s="20" t="n">
        <f aca="false">(1+Inputs!$C$6)^G3</f>
        <v>1.08243216</v>
      </c>
      <c r="H4" s="20" t="n">
        <f aca="false">(1+Inputs!$C$6)^H3</f>
        <v>1.1040808032</v>
      </c>
      <c r="I4" s="20" t="n">
        <f aca="false">(1+Inputs!$C$6)^I3</f>
        <v>1.126162419264</v>
      </c>
      <c r="J4" s="20" t="n">
        <f aca="false">(1+Inputs!$C$6)^J3</f>
        <v>1.14868566764928</v>
      </c>
      <c r="K4" s="20" t="n">
        <f aca="false">(1+Inputs!$C$6)^K3</f>
        <v>1.17165938100227</v>
      </c>
      <c r="L4" s="20" t="n">
        <f aca="false">(1+Inputs!$C$6)^L3</f>
        <v>1.19509256862231</v>
      </c>
      <c r="M4" s="20" t="n">
        <f aca="false">(1+Inputs!$C$6)^M3</f>
        <v>1.21899441999476</v>
      </c>
      <c r="N4" s="20" t="n">
        <f aca="false">(1+Inputs!$C$6)^N3</f>
        <v>1.24337430839465</v>
      </c>
      <c r="O4" s="20" t="n">
        <f aca="false">(1+Inputs!$C$6)^O3</f>
        <v>1.26824179456255</v>
      </c>
      <c r="P4" s="20" t="n">
        <f aca="false">(1+Inputs!$C$6)^P3</f>
        <v>1.2936066304538</v>
      </c>
      <c r="Q4" s="20" t="n">
        <f aca="false">(1+Inputs!$C$6)^Q3</f>
        <v>1.31947876306287</v>
      </c>
      <c r="R4" s="20" t="n">
        <f aca="false">(1+Inputs!$C$6)^R3</f>
        <v>1.34586833832413</v>
      </c>
      <c r="S4" s="20" t="n">
        <f aca="false">(1+Inputs!$C$6)^S3</f>
        <v>1.37278570509061</v>
      </c>
      <c r="T4" s="20" t="n">
        <f aca="false">(1+Inputs!$C$6)^T3</f>
        <v>1.40024141919242</v>
      </c>
      <c r="U4" s="20" t="n">
        <f aca="false">(1+Inputs!$C$6)^U3</f>
        <v>1.42824624757627</v>
      </c>
      <c r="V4" s="20" t="n">
        <f aca="false">(1+Inputs!$C$6)^V3</f>
        <v>1.4568111725278</v>
      </c>
      <c r="W4" s="20" t="n">
        <f aca="false">(1+Inputs!$C$6)^W3</f>
        <v>1.48594739597836</v>
      </c>
      <c r="X4" s="20" t="n">
        <f aca="false">(1+Inputs!$C$6)^X3</f>
        <v>1.51566634389792</v>
      </c>
      <c r="Y4" s="20" t="n">
        <f aca="false">(1+Inputs!$C$6)^Y3</f>
        <v>1.54597967077588</v>
      </c>
      <c r="Z4" s="20" t="n">
        <f aca="false">(1+Inputs!$C$6)^Z3</f>
        <v>1.5768992641914</v>
      </c>
      <c r="AA4" s="20" t="n">
        <f aca="false">(1+Inputs!$C$6)^AA3</f>
        <v>1.60843724947523</v>
      </c>
      <c r="AB4" s="20" t="n">
        <f aca="false">(1+Inputs!$C$6)^AB3</f>
        <v>1.64060599446473</v>
      </c>
      <c r="AC4" s="20" t="n">
        <f aca="false">(1+Inputs!$C$6)^AC3</f>
        <v>1.67341811435403</v>
      </c>
      <c r="AD4" s="20" t="n">
        <f aca="false">(1+Inputs!$C$6)^AD3</f>
        <v>1.70688647664111</v>
      </c>
      <c r="AE4" s="20" t="n">
        <f aca="false">(1+Inputs!$C$6)^AE3</f>
        <v>1.74102420617393</v>
      </c>
      <c r="AF4" s="20" t="n">
        <f aca="false">(1+Inputs!$C$6)^AF3</f>
        <v>1.77584469029741</v>
      </c>
      <c r="AG4" s="20" t="n">
        <f aca="false">(1+Inputs!$C$6)^AG3</f>
        <v>1.81136158410335</v>
      </c>
    </row>
    <row r="5" customFormat="false" ht="15" hidden="false" customHeight="false" outlineLevel="0" collapsed="false">
      <c r="A5" s="13" t="s">
        <v>116</v>
      </c>
      <c r="C5" s="20" t="n">
        <v>0</v>
      </c>
      <c r="D5" s="20" t="n">
        <f aca="false">Inputs!$C$9</f>
        <v>0.8</v>
      </c>
      <c r="E5" s="20" t="n">
        <v>1</v>
      </c>
      <c r="F5" s="20" t="n">
        <v>1</v>
      </c>
      <c r="G5" s="20" t="n">
        <v>1</v>
      </c>
      <c r="H5" s="20" t="n">
        <v>1</v>
      </c>
      <c r="I5" s="20" t="n">
        <v>1</v>
      </c>
      <c r="J5" s="20" t="n">
        <v>1</v>
      </c>
      <c r="K5" s="20" t="n">
        <v>1</v>
      </c>
      <c r="L5" s="20" t="n">
        <v>1</v>
      </c>
      <c r="M5" s="20" t="n">
        <v>1</v>
      </c>
      <c r="N5" s="20" t="n">
        <v>1</v>
      </c>
      <c r="O5" s="20" t="n">
        <v>1</v>
      </c>
      <c r="P5" s="20" t="n">
        <v>1</v>
      </c>
      <c r="Q5" s="20" t="n">
        <v>1</v>
      </c>
      <c r="R5" s="20" t="n">
        <v>1</v>
      </c>
      <c r="S5" s="20" t="n">
        <v>1</v>
      </c>
      <c r="T5" s="20" t="n">
        <v>1</v>
      </c>
      <c r="U5" s="20" t="n">
        <v>1</v>
      </c>
      <c r="V5" s="20" t="n">
        <v>1</v>
      </c>
      <c r="W5" s="20" t="n">
        <v>1</v>
      </c>
      <c r="X5" s="20" t="n">
        <v>1</v>
      </c>
      <c r="Y5" s="20" t="n">
        <v>1</v>
      </c>
      <c r="Z5" s="20" t="n">
        <v>1</v>
      </c>
      <c r="AA5" s="20" t="n">
        <v>1</v>
      </c>
      <c r="AB5" s="20" t="n">
        <v>1</v>
      </c>
      <c r="AC5" s="20" t="n">
        <v>1</v>
      </c>
      <c r="AD5" s="20" t="n">
        <v>1</v>
      </c>
      <c r="AE5" s="20" t="n">
        <v>1</v>
      </c>
      <c r="AF5" s="20" t="n">
        <v>1</v>
      </c>
      <c r="AG5" s="20" t="n">
        <v>1</v>
      </c>
    </row>
    <row r="6" customFormat="false" ht="15" hidden="false" customHeight="false" outlineLevel="0" collapsed="false">
      <c r="A6" s="13" t="s">
        <v>117</v>
      </c>
      <c r="C6" s="21" t="n">
        <f aca="false">Inputs!$C$8*Inputs!$C$10*C5</f>
        <v>0</v>
      </c>
      <c r="D6" s="21" t="n">
        <f aca="false">Inputs!$C$8*Inputs!$C$10*D5</f>
        <v>5705349.73831765</v>
      </c>
      <c r="E6" s="21" t="n">
        <f aca="false">Inputs!$C$8*Inputs!$C$10*E5</f>
        <v>7131687.17289706</v>
      </c>
      <c r="F6" s="21" t="n">
        <f aca="false">Inputs!$C$8*Inputs!$C$10*F5</f>
        <v>7131687.17289706</v>
      </c>
      <c r="G6" s="21" t="n">
        <f aca="false">Inputs!$C$8*Inputs!$C$10*G5</f>
        <v>7131687.17289706</v>
      </c>
      <c r="H6" s="21" t="n">
        <f aca="false">Inputs!$C$8*Inputs!$C$10*H5</f>
        <v>7131687.17289706</v>
      </c>
      <c r="I6" s="21" t="n">
        <f aca="false">Inputs!$C$8*Inputs!$C$10*I5</f>
        <v>7131687.17289706</v>
      </c>
      <c r="J6" s="21" t="n">
        <f aca="false">Inputs!$C$8*Inputs!$C$10*J5</f>
        <v>7131687.17289706</v>
      </c>
      <c r="K6" s="21" t="n">
        <f aca="false">Inputs!$C$8*Inputs!$C$10*K5</f>
        <v>7131687.17289706</v>
      </c>
      <c r="L6" s="21" t="n">
        <f aca="false">Inputs!$C$8*Inputs!$C$10*L5</f>
        <v>7131687.17289706</v>
      </c>
      <c r="M6" s="21" t="n">
        <f aca="false">Inputs!$C$8*Inputs!$C$10*M5</f>
        <v>7131687.17289706</v>
      </c>
      <c r="N6" s="21" t="n">
        <f aca="false">Inputs!$C$8*Inputs!$C$10*N5</f>
        <v>7131687.17289706</v>
      </c>
      <c r="O6" s="21" t="n">
        <f aca="false">Inputs!$C$8*Inputs!$C$10*O5</f>
        <v>7131687.17289706</v>
      </c>
      <c r="P6" s="21" t="n">
        <f aca="false">Inputs!$C$8*Inputs!$C$10*P5</f>
        <v>7131687.17289706</v>
      </c>
      <c r="Q6" s="21" t="n">
        <f aca="false">Inputs!$C$8*Inputs!$C$10*Q5</f>
        <v>7131687.17289706</v>
      </c>
      <c r="R6" s="21" t="n">
        <f aca="false">Inputs!$C$8*Inputs!$C$10*R5</f>
        <v>7131687.17289706</v>
      </c>
      <c r="S6" s="21" t="n">
        <f aca="false">Inputs!$C$8*Inputs!$C$10*S5</f>
        <v>7131687.17289706</v>
      </c>
      <c r="T6" s="21" t="n">
        <f aca="false">Inputs!$C$8*Inputs!$C$10*T5</f>
        <v>7131687.17289706</v>
      </c>
      <c r="U6" s="21" t="n">
        <f aca="false">Inputs!$C$8*Inputs!$C$10*U5</f>
        <v>7131687.17289706</v>
      </c>
      <c r="V6" s="21" t="n">
        <f aca="false">Inputs!$C$8*Inputs!$C$10*V5</f>
        <v>7131687.17289706</v>
      </c>
      <c r="W6" s="21" t="n">
        <f aca="false">Inputs!$C$8*Inputs!$C$10*W5</f>
        <v>7131687.17289706</v>
      </c>
      <c r="X6" s="21" t="n">
        <f aca="false">Inputs!$C$8*Inputs!$C$10*X5</f>
        <v>7131687.17289706</v>
      </c>
      <c r="Y6" s="21" t="n">
        <f aca="false">Inputs!$C$8*Inputs!$C$10*Y5</f>
        <v>7131687.17289706</v>
      </c>
      <c r="Z6" s="21" t="n">
        <f aca="false">Inputs!$C$8*Inputs!$C$10*Z5</f>
        <v>7131687.17289706</v>
      </c>
      <c r="AA6" s="21" t="n">
        <f aca="false">Inputs!$C$8*Inputs!$C$10*AA5</f>
        <v>7131687.17289706</v>
      </c>
      <c r="AB6" s="21" t="n">
        <f aca="false">Inputs!$C$8*Inputs!$C$10*AB5</f>
        <v>7131687.17289706</v>
      </c>
      <c r="AC6" s="21" t="n">
        <f aca="false">Inputs!$C$8*Inputs!$C$10*AC5</f>
        <v>7131687.17289706</v>
      </c>
      <c r="AD6" s="21" t="n">
        <f aca="false">Inputs!$C$8*Inputs!$C$10*AD5</f>
        <v>7131687.17289706</v>
      </c>
      <c r="AE6" s="21" t="n">
        <f aca="false">Inputs!$C$8*Inputs!$C$10*AE5</f>
        <v>7131687.17289706</v>
      </c>
      <c r="AF6" s="21" t="n">
        <f aca="false">Inputs!$C$8*Inputs!$C$10*AF5</f>
        <v>7131687.17289706</v>
      </c>
      <c r="AG6" s="21" t="n">
        <f aca="false">Inputs!$C$8*Inputs!$C$10*AG5</f>
        <v>7131687.17289706</v>
      </c>
    </row>
    <row r="7" customFormat="false" ht="15" hidden="false" customHeight="false" outlineLevel="0" collapsed="false">
      <c r="A7" s="13" t="s">
        <v>118</v>
      </c>
      <c r="C7" s="21" t="n">
        <f aca="false">Inputs!$C$4*C6</f>
        <v>0</v>
      </c>
      <c r="D7" s="21" t="n">
        <f aca="false">Inputs!$C$4*D6</f>
        <v>8411073.44275269</v>
      </c>
      <c r="E7" s="21" t="n">
        <f aca="false">Inputs!$C$4*E6</f>
        <v>10513841.8034409</v>
      </c>
      <c r="F7" s="21" t="n">
        <f aca="false">Inputs!$C$4*F6</f>
        <v>10513841.8034409</v>
      </c>
      <c r="G7" s="21" t="n">
        <f aca="false">Inputs!$C$4*G6</f>
        <v>10513841.8034409</v>
      </c>
      <c r="H7" s="21" t="n">
        <f aca="false">Inputs!$C$4*H6</f>
        <v>10513841.8034409</v>
      </c>
      <c r="I7" s="21" t="n">
        <f aca="false">Inputs!$C$4*I6</f>
        <v>10513841.8034409</v>
      </c>
      <c r="J7" s="21" t="n">
        <f aca="false">Inputs!$C$4*J6</f>
        <v>10513841.8034409</v>
      </c>
      <c r="K7" s="21" t="n">
        <f aca="false">Inputs!$C$4*K6</f>
        <v>10513841.8034409</v>
      </c>
      <c r="L7" s="21" t="n">
        <f aca="false">Inputs!$C$4*L6</f>
        <v>10513841.8034409</v>
      </c>
      <c r="M7" s="21" t="n">
        <f aca="false">Inputs!$C$4*M6</f>
        <v>10513841.8034409</v>
      </c>
      <c r="N7" s="21" t="n">
        <f aca="false">Inputs!$C$4*N6</f>
        <v>10513841.8034409</v>
      </c>
      <c r="O7" s="21" t="n">
        <f aca="false">Inputs!$C$4*O6</f>
        <v>10513841.8034409</v>
      </c>
      <c r="P7" s="21" t="n">
        <f aca="false">Inputs!$C$4*P6</f>
        <v>10513841.8034409</v>
      </c>
      <c r="Q7" s="21" t="n">
        <f aca="false">Inputs!$C$4*Q6</f>
        <v>10513841.8034409</v>
      </c>
      <c r="R7" s="21" t="n">
        <f aca="false">Inputs!$C$4*R6</f>
        <v>10513841.8034409</v>
      </c>
      <c r="S7" s="21" t="n">
        <f aca="false">Inputs!$C$4*S6</f>
        <v>10513841.8034409</v>
      </c>
      <c r="T7" s="21" t="n">
        <f aca="false">Inputs!$C$4*T6</f>
        <v>10513841.8034409</v>
      </c>
      <c r="U7" s="21" t="n">
        <f aca="false">Inputs!$C$4*U6</f>
        <v>10513841.8034409</v>
      </c>
      <c r="V7" s="21" t="n">
        <f aca="false">Inputs!$C$4*V6</f>
        <v>10513841.8034409</v>
      </c>
      <c r="W7" s="21" t="n">
        <f aca="false">Inputs!$C$4*W6</f>
        <v>10513841.8034409</v>
      </c>
      <c r="X7" s="21" t="n">
        <f aca="false">Inputs!$C$4*X6</f>
        <v>10513841.8034409</v>
      </c>
      <c r="Y7" s="21" t="n">
        <f aca="false">Inputs!$C$4*Y6</f>
        <v>10513841.8034409</v>
      </c>
      <c r="Z7" s="21" t="n">
        <f aca="false">Inputs!$C$4*Z6</f>
        <v>10513841.8034409</v>
      </c>
      <c r="AA7" s="21" t="n">
        <f aca="false">Inputs!$C$4*AA6</f>
        <v>10513841.8034409</v>
      </c>
      <c r="AB7" s="21" t="n">
        <f aca="false">Inputs!$C$4*AB6</f>
        <v>10513841.8034409</v>
      </c>
      <c r="AC7" s="21" t="n">
        <f aca="false">Inputs!$C$4*AC6</f>
        <v>10513841.8034409</v>
      </c>
      <c r="AD7" s="21" t="n">
        <f aca="false">Inputs!$C$4*AD6</f>
        <v>10513841.8034409</v>
      </c>
      <c r="AE7" s="21" t="n">
        <f aca="false">Inputs!$C$4*AE6</f>
        <v>10513841.8034409</v>
      </c>
      <c r="AF7" s="21" t="n">
        <f aca="false">Inputs!$C$4*AF6</f>
        <v>10513841.8034409</v>
      </c>
      <c r="AG7" s="21" t="n">
        <f aca="false">Inputs!$C$4*AG6</f>
        <v>10513841.8034409</v>
      </c>
    </row>
    <row r="8" customFormat="false" ht="15" hidden="false" customHeight="false" outlineLevel="0" collapsed="false">
      <c r="A8" s="13" t="s">
        <v>119</v>
      </c>
      <c r="C8" s="21" t="n">
        <v>0</v>
      </c>
      <c r="D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D6+SUMIF(Inputs!$D$49:$D$67,"sales_commission",Inputs!$C$49:$C$67)/Inputs!$C$70*D7</f>
        <v>6085018.59411408</v>
      </c>
      <c r="E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E6+SUMIF(Inputs!$D$49:$D$67,"sales_commission",Inputs!$C$49:$C$67)/Inputs!$C$70*E7</f>
        <v>6156335.46584305</v>
      </c>
      <c r="F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F6+SUMIF(Inputs!$D$49:$D$67,"sales_commission",Inputs!$C$49:$C$67)/Inputs!$C$70*F7</f>
        <v>6156335.46584305</v>
      </c>
      <c r="G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G6+SUMIF(Inputs!$D$49:$D$67,"sales_commission",Inputs!$C$49:$C$67)/Inputs!$C$70*G7</f>
        <v>6156335.46584305</v>
      </c>
      <c r="H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H6+SUMIF(Inputs!$D$49:$D$67,"sales_commission",Inputs!$C$49:$C$67)/Inputs!$C$70*H7</f>
        <v>6156335.46584305</v>
      </c>
      <c r="I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I6+SUMIF(Inputs!$D$49:$D$67,"sales_commission",Inputs!$C$49:$C$67)/Inputs!$C$70*I7</f>
        <v>6156335.46584305</v>
      </c>
      <c r="J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J6+SUMIF(Inputs!$D$49:$D$67,"sales_commission",Inputs!$C$49:$C$67)/Inputs!$C$70*J7</f>
        <v>6156335.46584305</v>
      </c>
      <c r="K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K6+SUMIF(Inputs!$D$49:$D$67,"sales_commission",Inputs!$C$49:$C$67)/Inputs!$C$70*K7</f>
        <v>6156335.46584305</v>
      </c>
      <c r="L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L6+SUMIF(Inputs!$D$49:$D$67,"sales_commission",Inputs!$C$49:$C$67)/Inputs!$C$70*L7</f>
        <v>6156335.46584305</v>
      </c>
      <c r="M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M6+SUMIF(Inputs!$D$49:$D$67,"sales_commission",Inputs!$C$49:$C$67)/Inputs!$C$70*M7</f>
        <v>6156335.46584305</v>
      </c>
      <c r="N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N6+SUMIF(Inputs!$D$49:$D$67,"sales_commission",Inputs!$C$49:$C$67)/Inputs!$C$70*N7</f>
        <v>6156335.46584305</v>
      </c>
      <c r="O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O6+SUMIF(Inputs!$D$49:$D$67,"sales_commission",Inputs!$C$49:$C$67)/Inputs!$C$70*O7</f>
        <v>6156335.46584305</v>
      </c>
      <c r="P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P6+SUMIF(Inputs!$D$49:$D$67,"sales_commission",Inputs!$C$49:$C$67)/Inputs!$C$70*P7</f>
        <v>6156335.46584305</v>
      </c>
      <c r="Q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Q6+SUMIF(Inputs!$D$49:$D$67,"sales_commission",Inputs!$C$49:$C$67)/Inputs!$C$70*Q7</f>
        <v>6156335.46584305</v>
      </c>
      <c r="R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R6+SUMIF(Inputs!$D$49:$D$67,"sales_commission",Inputs!$C$49:$C$67)/Inputs!$C$70*R7</f>
        <v>6156335.46584305</v>
      </c>
      <c r="S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S6+SUMIF(Inputs!$D$49:$D$67,"sales_commission",Inputs!$C$49:$C$67)/Inputs!$C$70*S7</f>
        <v>6156335.46584305</v>
      </c>
      <c r="T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T6+SUMIF(Inputs!$D$49:$D$67,"sales_commission",Inputs!$C$49:$C$67)/Inputs!$C$70*T7</f>
        <v>6156335.46584305</v>
      </c>
      <c r="U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U6+SUMIF(Inputs!$D$49:$D$67,"sales_commission",Inputs!$C$49:$C$67)/Inputs!$C$70*U7</f>
        <v>6156335.46584305</v>
      </c>
      <c r="V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V6+SUMIF(Inputs!$D$49:$D$67,"sales_commission",Inputs!$C$49:$C$67)/Inputs!$C$70*V7</f>
        <v>6156335.46584305</v>
      </c>
      <c r="W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W6+SUMIF(Inputs!$D$49:$D$67,"sales_commission",Inputs!$C$49:$C$67)/Inputs!$C$70*W7</f>
        <v>6156335.46584305</v>
      </c>
      <c r="X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X6+SUMIF(Inputs!$D$49:$D$67,"sales_commission",Inputs!$C$49:$C$67)/Inputs!$C$70*X7</f>
        <v>6156335.46584305</v>
      </c>
      <c r="Y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Y6+SUMIF(Inputs!$D$49:$D$67,"sales_commission",Inputs!$C$49:$C$67)/Inputs!$C$70*Y7</f>
        <v>6156335.46584305</v>
      </c>
      <c r="Z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Z6+SUMIF(Inputs!$D$49:$D$67,"sales_commission",Inputs!$C$49:$C$67)/Inputs!$C$70*Z7</f>
        <v>6156335.46584305</v>
      </c>
      <c r="AA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AA6+SUMIF(Inputs!$D$49:$D$67,"sales_commission",Inputs!$C$49:$C$67)/Inputs!$C$70*AA7</f>
        <v>6156335.46584305</v>
      </c>
      <c r="AB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AB6+SUMIF(Inputs!$D$49:$D$67,"sales_commission",Inputs!$C$49:$C$67)/Inputs!$C$70*AB7</f>
        <v>6156335.46584305</v>
      </c>
      <c r="AC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AC6+SUMIF(Inputs!$D$49:$D$67,"sales_commission",Inputs!$C$49:$C$67)/Inputs!$C$70*AC7</f>
        <v>6156335.46584305</v>
      </c>
      <c r="AD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AD6+SUMIF(Inputs!$D$49:$D$67,"sales_commission",Inputs!$C$49:$C$67)/Inputs!$C$70*AD7</f>
        <v>6156335.46584305</v>
      </c>
      <c r="AE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AE6+SUMIF(Inputs!$D$49:$D$67,"sales_commission",Inputs!$C$49:$C$67)/Inputs!$C$70*AE7</f>
        <v>6156335.46584305</v>
      </c>
      <c r="AF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AF6+SUMIF(Inputs!$D$49:$D$67,"sales_commission",Inputs!$C$49:$C$67)/Inputs!$C$70*AF7</f>
        <v>6156335.46584305</v>
      </c>
      <c r="AG8" s="21" t="n">
        <f aca="false">SUMIF(Inputs!$D$49:$D$67,"fixed",Inputs!$C$49:$C$67)+SUMIF(Inputs!$D$49:$D$67,"labour",Inputs!$C$49:$C$67)*Inputs!$C$14*((1-Inputs!$C$15)+Inputs!$C$15*Inputs!$C$10)+SUMIF(Inputs!$D$49:$D$67,"elec",Inputs!$C$49:$C$67)*Inputs!$C$12+SUMIF(Inputs!$D$49:$D$67,"co2_purchased",Inputs!$C$49:$C$67)*Inputs!$C$13/0.06+SUMIF(Inputs!$D$49:$D$67,"per_kg",Inputs!$C$49:$C$67)/Inputs!$C$8*AG6+SUMIF(Inputs!$D$49:$D$67,"sales_commission",Inputs!$C$49:$C$67)/Inputs!$C$70*AG7</f>
        <v>6156335.46584305</v>
      </c>
    </row>
    <row r="9" customFormat="false" ht="15" hidden="false" customHeight="false" outlineLevel="0" collapsed="false">
      <c r="A9" s="13" t="s">
        <v>120</v>
      </c>
      <c r="C9" s="21" t="n">
        <f aca="false">Inputs!E74*Inputs!$C$11</f>
        <v>0</v>
      </c>
      <c r="D9" s="21" t="n">
        <f aca="false">Inputs!F74*Inputs!$C$11</f>
        <v>0</v>
      </c>
      <c r="E9" s="21" t="n">
        <f aca="false">Inputs!G74*Inputs!$C$11</f>
        <v>0</v>
      </c>
      <c r="F9" s="21" t="n">
        <f aca="false">Inputs!H74*Inputs!$C$11</f>
        <v>0</v>
      </c>
      <c r="G9" s="21" t="n">
        <f aca="false">Inputs!I74*Inputs!$C$11</f>
        <v>0</v>
      </c>
      <c r="H9" s="21" t="n">
        <f aca="false">Inputs!J74*Inputs!$C$11</f>
        <v>0</v>
      </c>
      <c r="I9" s="21" t="n">
        <f aca="false">Inputs!K74*Inputs!$C$11</f>
        <v>0</v>
      </c>
      <c r="J9" s="21" t="n">
        <f aca="false">Inputs!L74*Inputs!$C$11</f>
        <v>0</v>
      </c>
      <c r="K9" s="21" t="n">
        <f aca="false">Inputs!M74*Inputs!$C$11</f>
        <v>0</v>
      </c>
      <c r="L9" s="21" t="n">
        <f aca="false">Inputs!N74*Inputs!$C$11</f>
        <v>0</v>
      </c>
      <c r="M9" s="21" t="n">
        <f aca="false">Inputs!O74*Inputs!$C$11</f>
        <v>1224579.34694261</v>
      </c>
      <c r="N9" s="21" t="n">
        <f aca="false">Inputs!P74*Inputs!$C$11</f>
        <v>0</v>
      </c>
      <c r="O9" s="21" t="n">
        <f aca="false">Inputs!Q74*Inputs!$C$11</f>
        <v>0</v>
      </c>
      <c r="P9" s="21" t="n">
        <f aca="false">Inputs!R74*Inputs!$C$11</f>
        <v>0</v>
      </c>
      <c r="Q9" s="21" t="n">
        <f aca="false">Inputs!S74*Inputs!$C$11</f>
        <v>0</v>
      </c>
      <c r="R9" s="21" t="n">
        <f aca="false">Inputs!T74*Inputs!$C$11</f>
        <v>2667819.87672335</v>
      </c>
      <c r="S9" s="21" t="n">
        <f aca="false">Inputs!U74*Inputs!$C$11</f>
        <v>0</v>
      </c>
      <c r="T9" s="21" t="n">
        <f aca="false">Inputs!V74*Inputs!$C$11</f>
        <v>0</v>
      </c>
      <c r="U9" s="21" t="n">
        <f aca="false">Inputs!W74*Inputs!$C$11</f>
        <v>0</v>
      </c>
      <c r="V9" s="21" t="n">
        <f aca="false">Inputs!X74*Inputs!$C$11</f>
        <v>0</v>
      </c>
      <c r="W9" s="21" t="n">
        <f aca="false">Inputs!Y74*Inputs!$C$11</f>
        <v>2288264.12760347</v>
      </c>
      <c r="X9" s="21" t="n">
        <f aca="false">Inputs!Z74*Inputs!$C$11</f>
        <v>0</v>
      </c>
      <c r="Y9" s="21" t="n">
        <f aca="false">Inputs!AA74*Inputs!$C$11</f>
        <v>0</v>
      </c>
      <c r="Z9" s="21" t="n">
        <f aca="false">Inputs!AB74*Inputs!$C$11</f>
        <v>0</v>
      </c>
      <c r="AA9" s="21" t="n">
        <f aca="false">Inputs!AC74*Inputs!$C$11</f>
        <v>0</v>
      </c>
      <c r="AB9" s="21" t="n">
        <f aca="false">Inputs!AD74*Inputs!$C$11</f>
        <v>5983326.11180204</v>
      </c>
      <c r="AC9" s="21" t="n">
        <f aca="false">Inputs!AE74*Inputs!$C$11</f>
        <v>0</v>
      </c>
      <c r="AD9" s="21" t="n">
        <f aca="false">Inputs!AF74*Inputs!$C$11</f>
        <v>0</v>
      </c>
      <c r="AE9" s="21" t="n">
        <f aca="false">Inputs!AG74*Inputs!$C$11</f>
        <v>0</v>
      </c>
      <c r="AF9" s="21" t="n">
        <f aca="false">Inputs!AH74*Inputs!$C$11</f>
        <v>0</v>
      </c>
      <c r="AG9" s="21" t="n">
        <f aca="false">Inputs!AI74*Inputs!$C$11</f>
        <v>0</v>
      </c>
    </row>
    <row r="10" customFormat="false" ht="15" hidden="false" customHeight="false" outlineLevel="0" collapsed="false">
      <c r="A10" s="13" t="s">
        <v>121</v>
      </c>
      <c r="C10" s="21" t="n">
        <f aca="false">-SUM(Inputs!$C$30:$C$46)*Inputs!$C$11</f>
        <v>-28656012.4447042</v>
      </c>
      <c r="D10" s="21" t="n">
        <f aca="false">D7-D8-D9</f>
        <v>2326054.84863862</v>
      </c>
      <c r="E10" s="21" t="n">
        <f aca="false">E7-E8-E9</f>
        <v>4357506.33759782</v>
      </c>
      <c r="F10" s="21" t="n">
        <f aca="false">F7-F8-F9</f>
        <v>4357506.33759782</v>
      </c>
      <c r="G10" s="21" t="n">
        <f aca="false">G7-G8-G9</f>
        <v>4357506.33759782</v>
      </c>
      <c r="H10" s="21" t="n">
        <f aca="false">H7-H8-H9</f>
        <v>4357506.33759782</v>
      </c>
      <c r="I10" s="21" t="n">
        <f aca="false">I7-I8-I9</f>
        <v>4357506.33759782</v>
      </c>
      <c r="J10" s="21" t="n">
        <f aca="false">J7-J8-J9</f>
        <v>4357506.33759782</v>
      </c>
      <c r="K10" s="21" t="n">
        <f aca="false">K7-K8-K9</f>
        <v>4357506.33759782</v>
      </c>
      <c r="L10" s="21" t="n">
        <f aca="false">L7-L8-L9</f>
        <v>4357506.33759782</v>
      </c>
      <c r="M10" s="21" t="n">
        <f aca="false">M7-M8-M9</f>
        <v>3132926.99065521</v>
      </c>
      <c r="N10" s="21" t="n">
        <f aca="false">N7-N8-N9</f>
        <v>4357506.33759782</v>
      </c>
      <c r="O10" s="21" t="n">
        <f aca="false">O7-O8-O9</f>
        <v>4357506.33759782</v>
      </c>
      <c r="P10" s="21" t="n">
        <f aca="false">P7-P8-P9</f>
        <v>4357506.33759782</v>
      </c>
      <c r="Q10" s="21" t="n">
        <f aca="false">Q7-Q8-Q9</f>
        <v>4357506.33759782</v>
      </c>
      <c r="R10" s="21" t="n">
        <f aca="false">R7-R8-R9</f>
        <v>1689686.46087447</v>
      </c>
      <c r="S10" s="21" t="n">
        <f aca="false">S7-S8-S9</f>
        <v>4357506.33759782</v>
      </c>
      <c r="T10" s="21" t="n">
        <f aca="false">T7-T8-T9</f>
        <v>4357506.33759782</v>
      </c>
      <c r="U10" s="21" t="n">
        <f aca="false">U7-U8-U9</f>
        <v>4357506.33759782</v>
      </c>
      <c r="V10" s="21" t="n">
        <f aca="false">V7-V8-V9</f>
        <v>4357506.33759782</v>
      </c>
      <c r="W10" s="21" t="n">
        <f aca="false">W7-W8-W9</f>
        <v>2069242.20999435</v>
      </c>
      <c r="X10" s="21" t="n">
        <f aca="false">X7-X8-X9</f>
        <v>4357506.33759782</v>
      </c>
      <c r="Y10" s="21" t="n">
        <f aca="false">Y7-Y8-Y9</f>
        <v>4357506.33759782</v>
      </c>
      <c r="Z10" s="21" t="n">
        <f aca="false">Z7-Z8-Z9</f>
        <v>4357506.33759782</v>
      </c>
      <c r="AA10" s="21" t="n">
        <f aca="false">AA7-AA8-AA9</f>
        <v>4357506.33759782</v>
      </c>
      <c r="AB10" s="21" t="n">
        <f aca="false">AB7-AB8-AB9</f>
        <v>-1625819.77420422</v>
      </c>
      <c r="AC10" s="21" t="n">
        <f aca="false">AC7-AC8-AC9</f>
        <v>4357506.33759782</v>
      </c>
      <c r="AD10" s="21" t="n">
        <f aca="false">AD7-AD8-AD9</f>
        <v>4357506.33759782</v>
      </c>
      <c r="AE10" s="21" t="n">
        <f aca="false">AE7-AE8-AE9</f>
        <v>4357506.33759782</v>
      </c>
      <c r="AF10" s="21" t="n">
        <f aca="false">AF7-AF8-AF9</f>
        <v>4357506.33759782</v>
      </c>
      <c r="AG10" s="21" t="n">
        <f aca="false">AG7-AG8-AG9+Inputs!$C$69*Inputs!$C$11</f>
        <v>9676009.61736988</v>
      </c>
    </row>
    <row r="11" customFormat="false" ht="15" hidden="false" customHeight="false" outlineLevel="0" collapsed="false">
      <c r="A11" s="3" t="s">
        <v>122</v>
      </c>
      <c r="C11" s="21" t="n">
        <f aca="false">(C7-C8)*C4</f>
        <v>0</v>
      </c>
      <c r="D11" s="21" t="n">
        <f aca="false">(D7-D8)*D4</f>
        <v>2372575.94561139</v>
      </c>
      <c r="E11" s="21" t="n">
        <f aca="false">(E7-E8)*E4</f>
        <v>4533549.59363677</v>
      </c>
      <c r="F11" s="21" t="n">
        <f aca="false">(F7-F8)*F4</f>
        <v>4624220.58550951</v>
      </c>
      <c r="G11" s="21" t="n">
        <f aca="false">(G7-G8)*G4</f>
        <v>4716704.9972197</v>
      </c>
      <c r="H11" s="21" t="n">
        <f aca="false">(H7-H8)*H4</f>
        <v>4811039.09716409</v>
      </c>
      <c r="I11" s="21" t="n">
        <f aca="false">(I7-I8)*I4</f>
        <v>4907259.87910737</v>
      </c>
      <c r="J11" s="21" t="n">
        <f aca="false">(J7-J8)*J4</f>
        <v>5005405.07668952</v>
      </c>
      <c r="K11" s="21" t="n">
        <f aca="false">(K7-K8)*K4</f>
        <v>5105513.17822331</v>
      </c>
      <c r="L11" s="21" t="n">
        <f aca="false">(L7-L8)*L4</f>
        <v>5207623.44178778</v>
      </c>
      <c r="M11" s="21" t="n">
        <f aca="false">(M7-M8)*M4</f>
        <v>5311775.91062353</v>
      </c>
      <c r="N11" s="21" t="n">
        <f aca="false">(N7-N8)*N4</f>
        <v>5418011.428836</v>
      </c>
      <c r="O11" s="21" t="n">
        <f aca="false">(O7-O8)*O4</f>
        <v>5526371.65741272</v>
      </c>
      <c r="P11" s="21" t="n">
        <f aca="false">(P7-P8)*P4</f>
        <v>5636899.09056098</v>
      </c>
      <c r="Q11" s="21" t="n">
        <f aca="false">(Q7-Q8)*Q4</f>
        <v>5749637.0723722</v>
      </c>
      <c r="R11" s="21" t="n">
        <f aca="false">(R7-R8)*R4</f>
        <v>5864629.81381964</v>
      </c>
      <c r="S11" s="21" t="n">
        <f aca="false">(S7-S8)*S4</f>
        <v>5981922.41009603</v>
      </c>
      <c r="T11" s="21" t="n">
        <f aca="false">(T7-T8)*T4</f>
        <v>6101560.85829796</v>
      </c>
      <c r="U11" s="21" t="n">
        <f aca="false">(U7-U8)*U4</f>
        <v>6223592.07546392</v>
      </c>
      <c r="V11" s="21" t="n">
        <f aca="false">(V7-V8)*V4</f>
        <v>6348063.91697319</v>
      </c>
      <c r="W11" s="21" t="n">
        <f aca="false">(W7-W8)*W4</f>
        <v>6475025.19531266</v>
      </c>
      <c r="X11" s="21" t="n">
        <f aca="false">(X7-X8)*X4</f>
        <v>6604525.69921891</v>
      </c>
      <c r="Y11" s="21" t="n">
        <f aca="false">(Y7-Y8)*Y4</f>
        <v>6736616.21320329</v>
      </c>
      <c r="Z11" s="21" t="n">
        <f aca="false">(Z7-Z8)*Z4</f>
        <v>6871348.53746736</v>
      </c>
      <c r="AA11" s="21" t="n">
        <f aca="false">(AA7-AA8)*AA4</f>
        <v>7008775.5082167</v>
      </c>
      <c r="AB11" s="21" t="n">
        <f aca="false">(AB7-AB8)*AB4</f>
        <v>7148951.01838104</v>
      </c>
      <c r="AC11" s="21" t="n">
        <f aca="false">(AC7-AC8)*AC4</f>
        <v>7291930.03874866</v>
      </c>
      <c r="AD11" s="21" t="n">
        <f aca="false">(AD7-AD8)*AD4</f>
        <v>7437768.63952363</v>
      </c>
      <c r="AE11" s="21" t="n">
        <f aca="false">(AE7-AE8)*AE4</f>
        <v>7586524.0123141</v>
      </c>
      <c r="AF11" s="21" t="n">
        <f aca="false">(AF7-AF8)*AF4</f>
        <v>7738254.49256039</v>
      </c>
      <c r="AG11" s="21" t="n">
        <f aca="false">(AG7-AG8)*AG4</f>
        <v>7893019.58241159</v>
      </c>
    </row>
    <row r="12" customFormat="false" ht="15" hidden="false" customHeight="false" outlineLevel="0" collapsed="false">
      <c r="A12" s="13" t="s">
        <v>123</v>
      </c>
      <c r="C12" s="21" t="n">
        <f aca="false">C8*C4</f>
        <v>0</v>
      </c>
      <c r="D12" s="21" t="n">
        <f aca="false">D8*D4</f>
        <v>6206718.96599636</v>
      </c>
      <c r="E12" s="21" t="n">
        <f aca="false">E8*E4</f>
        <v>6405051.41866311</v>
      </c>
      <c r="F12" s="21" t="n">
        <f aca="false">F8*F4</f>
        <v>6533152.44703637</v>
      </c>
      <c r="G12" s="21" t="n">
        <f aca="false">G8*G4</f>
        <v>6663815.49597709</v>
      </c>
      <c r="H12" s="21" t="n">
        <f aca="false">H8*H4</f>
        <v>6797091.80589664</v>
      </c>
      <c r="I12" s="21" t="n">
        <f aca="false">I8*I4</f>
        <v>6933033.64201457</v>
      </c>
      <c r="J12" s="21" t="n">
        <f aca="false">J8*J4</f>
        <v>7071694.31485486</v>
      </c>
      <c r="K12" s="21" t="n">
        <f aca="false">K8*K4</f>
        <v>7213128.20115196</v>
      </c>
      <c r="L12" s="21" t="n">
        <f aca="false">L8*L4</f>
        <v>7357390.765175</v>
      </c>
      <c r="M12" s="21" t="n">
        <f aca="false">M8*M4</f>
        <v>7504538.5804785</v>
      </c>
      <c r="N12" s="21" t="n">
        <f aca="false">N8*N4</f>
        <v>7654629.35208807</v>
      </c>
      <c r="O12" s="21" t="n">
        <f aca="false">O8*O4</f>
        <v>7807721.93912983</v>
      </c>
      <c r="P12" s="21" t="n">
        <f aca="false">P8*P4</f>
        <v>7963876.37791243</v>
      </c>
      <c r="Q12" s="21" t="n">
        <f aca="false">Q8*Q4</f>
        <v>8123153.90547068</v>
      </c>
      <c r="R12" s="21" t="n">
        <f aca="false">R8*R4</f>
        <v>8285616.98358009</v>
      </c>
      <c r="S12" s="21" t="n">
        <f aca="false">S8*S4</f>
        <v>8451329.32325169</v>
      </c>
      <c r="T12" s="21" t="n">
        <f aca="false">T8*T4</f>
        <v>8620355.90971673</v>
      </c>
      <c r="U12" s="21" t="n">
        <f aca="false">U8*U4</f>
        <v>8792763.02791106</v>
      </c>
      <c r="V12" s="21" t="n">
        <f aca="false">V8*V4</f>
        <v>8968618.28846928</v>
      </c>
      <c r="W12" s="21" t="n">
        <f aca="false">W8*W4</f>
        <v>9147990.65423867</v>
      </c>
      <c r="X12" s="21" t="n">
        <f aca="false">X8*X4</f>
        <v>9330950.46732344</v>
      </c>
      <c r="Y12" s="21" t="n">
        <f aca="false">Y8*Y4</f>
        <v>9517569.47666991</v>
      </c>
      <c r="Z12" s="21" t="n">
        <f aca="false">Z8*Z4</f>
        <v>9707920.86620331</v>
      </c>
      <c r="AA12" s="21" t="n">
        <f aca="false">AA8*AA4</f>
        <v>9902079.28352737</v>
      </c>
      <c r="AB12" s="21" t="n">
        <f aca="false">AB8*AB4</f>
        <v>10100120.8691979</v>
      </c>
      <c r="AC12" s="21" t="n">
        <f aca="false">AC8*AC4</f>
        <v>10302123.2865819</v>
      </c>
      <c r="AD12" s="21" t="n">
        <f aca="false">AD8*AD4</f>
        <v>10508165.7523135</v>
      </c>
      <c r="AE12" s="21" t="n">
        <f aca="false">AE8*AE4</f>
        <v>10718329.0673598</v>
      </c>
      <c r="AF12" s="21" t="n">
        <f aca="false">AF8*AF4</f>
        <v>10932695.648707</v>
      </c>
      <c r="AG12" s="21" t="n">
        <f aca="false">AG8*AG4</f>
        <v>11151349.5616811</v>
      </c>
    </row>
    <row r="13" customFormat="false" ht="15" hidden="false" customHeight="false" outlineLevel="0" collapsed="false">
      <c r="A13" s="13" t="s">
        <v>124</v>
      </c>
      <c r="C13" s="21" t="n">
        <f aca="false">C9*C4</f>
        <v>0</v>
      </c>
      <c r="D13" s="21" t="n">
        <f aca="false">D9*D4</f>
        <v>0</v>
      </c>
      <c r="E13" s="21" t="n">
        <f aca="false">E9*E4</f>
        <v>0</v>
      </c>
      <c r="F13" s="21" t="n">
        <f aca="false">F9*F4</f>
        <v>0</v>
      </c>
      <c r="G13" s="21" t="n">
        <f aca="false">G9*G4</f>
        <v>0</v>
      </c>
      <c r="H13" s="21" t="n">
        <f aca="false">H9*H4</f>
        <v>0</v>
      </c>
      <c r="I13" s="21" t="n">
        <f aca="false">I9*I4</f>
        <v>0</v>
      </c>
      <c r="J13" s="21" t="n">
        <f aca="false">J9*J4</f>
        <v>0</v>
      </c>
      <c r="K13" s="21" t="n">
        <f aca="false">K9*K4</f>
        <v>0</v>
      </c>
      <c r="L13" s="21" t="n">
        <f aca="false">L9*L4</f>
        <v>0</v>
      </c>
      <c r="M13" s="21" t="n">
        <f aca="false">M9*M4</f>
        <v>1492755.39076386</v>
      </c>
      <c r="N13" s="21" t="n">
        <f aca="false">N9*N4</f>
        <v>0</v>
      </c>
      <c r="O13" s="21" t="n">
        <f aca="false">O9*O4</f>
        <v>0</v>
      </c>
      <c r="P13" s="21" t="n">
        <f aca="false">P9*P4</f>
        <v>0</v>
      </c>
      <c r="Q13" s="21" t="n">
        <f aca="false">Q9*Q4</f>
        <v>0</v>
      </c>
      <c r="R13" s="21" t="n">
        <f aca="false">R9*R4</f>
        <v>3590534.30443374</v>
      </c>
      <c r="S13" s="21" t="n">
        <f aca="false">S9*S4</f>
        <v>0</v>
      </c>
      <c r="T13" s="21" t="n">
        <f aca="false">T9*T4</f>
        <v>0</v>
      </c>
      <c r="U13" s="21" t="n">
        <f aca="false">U9*U4</f>
        <v>0</v>
      </c>
      <c r="V13" s="21" t="n">
        <f aca="false">V9*V4</f>
        <v>0</v>
      </c>
      <c r="W13" s="21" t="n">
        <f aca="false">W9*W4</f>
        <v>3400240.12172306</v>
      </c>
      <c r="X13" s="21" t="n">
        <f aca="false">X9*X4</f>
        <v>0</v>
      </c>
      <c r="Y13" s="21" t="n">
        <f aca="false">Y9*Y4</f>
        <v>0</v>
      </c>
      <c r="Z13" s="21" t="n">
        <f aca="false">Z9*Z4</f>
        <v>0</v>
      </c>
      <c r="AA13" s="21" t="n">
        <f aca="false">AA9*AA4</f>
        <v>0</v>
      </c>
      <c r="AB13" s="21" t="n">
        <f aca="false">AB9*AB4</f>
        <v>9816280.68585977</v>
      </c>
      <c r="AC13" s="21" t="n">
        <f aca="false">AC9*AC4</f>
        <v>0</v>
      </c>
      <c r="AD13" s="21" t="n">
        <f aca="false">AD9*AD4</f>
        <v>0</v>
      </c>
      <c r="AE13" s="21" t="n">
        <f aca="false">AE9*AE4</f>
        <v>0</v>
      </c>
      <c r="AF13" s="21" t="n">
        <f aca="false">AF9*AF4</f>
        <v>0</v>
      </c>
      <c r="AG13" s="21" t="n">
        <f aca="false">AG9*AG4</f>
        <v>0</v>
      </c>
    </row>
    <row r="14" customFormat="false" ht="15" hidden="false" customHeight="false" outlineLevel="0" collapsed="false">
      <c r="A14" s="13" t="s">
        <v>125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f aca="false">Inputs!$C$69*Inputs!$C$11*AG4</f>
        <v>9633732.52590681</v>
      </c>
    </row>
    <row r="15" customFormat="false" ht="15" hidden="false" customHeight="false" outlineLevel="0" collapsed="false">
      <c r="A15" s="13" t="s">
        <v>126</v>
      </c>
      <c r="C15" s="21" t="n">
        <f aca="false">SUMIF(Inputs!$D$30:$D$46,"special",Inputs!$C$30:$C$46)*Inputs!$C$11*(1+SUMIF(Inputs!$D$30:$D$46,"contingency",Inputs!$C$30:$C$46)*Inputs!$C$11/(SUMIF(Inputs!$D$30:$D$46,"main",Inputs!$C$30:$C$46)*Inputs!$C$11+SUMIF(Inputs!$D$30:$D$46,"special",Inputs!$C$30:$C$46)*Inputs!$C$11))*(1-Inputs!$C$20/(SUMIF(Inputs!$D$30:$D$46,"main",Inputs!$C$30:$C$46)*Inputs!$C$11+SUMIF(Inputs!$D$30:$D$46,"special",Inputs!$C$30:$C$46)*Inputs!$C$11+SUMIF(Inputs!$D$30:$D$46,"contingency",Inputs!$C$30:$C$46)*Inputs!$C$11))</f>
        <v>13323001.8384678</v>
      </c>
      <c r="D15" s="21" t="n">
        <f aca="false">D13</f>
        <v>0</v>
      </c>
      <c r="E15" s="21" t="n">
        <f aca="false">E13</f>
        <v>0</v>
      </c>
      <c r="F15" s="21" t="n">
        <f aca="false">F13</f>
        <v>0</v>
      </c>
      <c r="G15" s="21" t="n">
        <f aca="false">G13</f>
        <v>0</v>
      </c>
      <c r="H15" s="21" t="n">
        <f aca="false">H13</f>
        <v>0</v>
      </c>
      <c r="I15" s="21" t="n">
        <f aca="false">I13</f>
        <v>0</v>
      </c>
      <c r="J15" s="21" t="n">
        <f aca="false">J13</f>
        <v>0</v>
      </c>
      <c r="K15" s="21" t="n">
        <f aca="false">K13</f>
        <v>0</v>
      </c>
      <c r="L15" s="21" t="n">
        <f aca="false">L13</f>
        <v>0</v>
      </c>
      <c r="M15" s="21" t="n">
        <f aca="false">M13</f>
        <v>1492755.39076386</v>
      </c>
      <c r="N15" s="21" t="n">
        <f aca="false">N13</f>
        <v>0</v>
      </c>
      <c r="O15" s="21" t="n">
        <f aca="false">O13</f>
        <v>0</v>
      </c>
      <c r="P15" s="21" t="n">
        <f aca="false">P13</f>
        <v>0</v>
      </c>
      <c r="Q15" s="21" t="n">
        <f aca="false">Q13</f>
        <v>0</v>
      </c>
      <c r="R15" s="21" t="n">
        <f aca="false">R13</f>
        <v>3590534.30443374</v>
      </c>
      <c r="S15" s="21" t="n">
        <f aca="false">S13</f>
        <v>0</v>
      </c>
      <c r="T15" s="21" t="n">
        <f aca="false">T13</f>
        <v>0</v>
      </c>
      <c r="U15" s="21" t="n">
        <f aca="false">U13</f>
        <v>0</v>
      </c>
      <c r="V15" s="21" t="n">
        <f aca="false">V13</f>
        <v>0</v>
      </c>
      <c r="W15" s="21" t="n">
        <f aca="false">W13</f>
        <v>3400240.12172306</v>
      </c>
      <c r="X15" s="21" t="n">
        <f aca="false">X13</f>
        <v>0</v>
      </c>
      <c r="Y15" s="21" t="n">
        <f aca="false">Y13</f>
        <v>0</v>
      </c>
      <c r="Z15" s="21" t="n">
        <f aca="false">Z13</f>
        <v>0</v>
      </c>
      <c r="AA15" s="21" t="n">
        <f aca="false">AA13</f>
        <v>0</v>
      </c>
      <c r="AB15" s="21" t="n">
        <f aca="false">AB13</f>
        <v>9816280.68585977</v>
      </c>
      <c r="AC15" s="21" t="n">
        <f aca="false">AC13</f>
        <v>0</v>
      </c>
      <c r="AD15" s="21" t="n">
        <f aca="false">AD13</f>
        <v>0</v>
      </c>
      <c r="AE15" s="21" t="n">
        <f aca="false">AE13</f>
        <v>0</v>
      </c>
      <c r="AF15" s="21" t="n">
        <f aca="false">AF13</f>
        <v>0</v>
      </c>
      <c r="AG15" s="21" t="n">
        <f aca="false">AG13</f>
        <v>0</v>
      </c>
    </row>
    <row r="16" customFormat="false" ht="15" hidden="false" customHeight="false" outlineLevel="0" collapsed="false">
      <c r="A16" s="13" t="s">
        <v>127</v>
      </c>
      <c r="C16" s="21" t="n">
        <f aca="false">Inputs!$C$26*C15</f>
        <v>6661500.9192339</v>
      </c>
      <c r="D16" s="21" t="n">
        <f aca="false">Inputs!$C$26*D15</f>
        <v>0</v>
      </c>
      <c r="E16" s="21" t="n">
        <f aca="false">Inputs!$C$26*E15</f>
        <v>0</v>
      </c>
      <c r="F16" s="21" t="n">
        <f aca="false">Inputs!$C$26*F15</f>
        <v>0</v>
      </c>
      <c r="G16" s="21" t="n">
        <f aca="false">Inputs!$C$26*G15</f>
        <v>0</v>
      </c>
      <c r="H16" s="21" t="n">
        <f aca="false">Inputs!$C$26*H15</f>
        <v>0</v>
      </c>
      <c r="I16" s="21" t="n">
        <f aca="false">Inputs!$C$26*I15</f>
        <v>0</v>
      </c>
      <c r="J16" s="21" t="n">
        <f aca="false">Inputs!$C$26*J15</f>
        <v>0</v>
      </c>
      <c r="K16" s="21" t="n">
        <f aca="false">Inputs!$C$26*K15</f>
        <v>0</v>
      </c>
      <c r="L16" s="21" t="n">
        <f aca="false">Inputs!$C$26*L15</f>
        <v>0</v>
      </c>
      <c r="M16" s="21" t="n">
        <f aca="false">Inputs!$C$26*M15</f>
        <v>746377.695381931</v>
      </c>
      <c r="N16" s="21" t="n">
        <f aca="false">Inputs!$C$26*N15</f>
        <v>0</v>
      </c>
      <c r="O16" s="21" t="n">
        <f aca="false">Inputs!$C$26*O15</f>
        <v>0</v>
      </c>
      <c r="P16" s="21" t="n">
        <f aca="false">Inputs!$C$26*P15</f>
        <v>0</v>
      </c>
      <c r="Q16" s="21" t="n">
        <f aca="false">Inputs!$C$26*Q15</f>
        <v>0</v>
      </c>
      <c r="R16" s="21" t="n">
        <f aca="false">Inputs!$C$26*R15</f>
        <v>1795267.15221687</v>
      </c>
      <c r="S16" s="21" t="n">
        <f aca="false">Inputs!$C$26*S15</f>
        <v>0</v>
      </c>
      <c r="T16" s="21" t="n">
        <f aca="false">Inputs!$C$26*T15</f>
        <v>0</v>
      </c>
      <c r="U16" s="21" t="n">
        <f aca="false">Inputs!$C$26*U15</f>
        <v>0</v>
      </c>
      <c r="V16" s="21" t="n">
        <f aca="false">Inputs!$C$26*V15</f>
        <v>0</v>
      </c>
      <c r="W16" s="21" t="n">
        <f aca="false">Inputs!$C$26*W15</f>
        <v>1700120.06086153</v>
      </c>
      <c r="X16" s="21" t="n">
        <f aca="false">Inputs!$C$26*X15</f>
        <v>0</v>
      </c>
      <c r="Y16" s="21" t="n">
        <f aca="false">Inputs!$C$26*Y15</f>
        <v>0</v>
      </c>
      <c r="Z16" s="21" t="n">
        <f aca="false">Inputs!$C$26*Z15</f>
        <v>0</v>
      </c>
      <c r="AA16" s="21" t="n">
        <f aca="false">Inputs!$C$26*AA15</f>
        <v>0</v>
      </c>
      <c r="AB16" s="21" t="n">
        <f aca="false">Inputs!$C$26*AB15</f>
        <v>4908140.34292989</v>
      </c>
      <c r="AC16" s="21" t="n">
        <f aca="false">Inputs!$C$26*AC15</f>
        <v>0</v>
      </c>
      <c r="AD16" s="21" t="n">
        <f aca="false">Inputs!$C$26*AD15</f>
        <v>0</v>
      </c>
      <c r="AE16" s="21" t="n">
        <f aca="false">Inputs!$C$26*AE15</f>
        <v>0</v>
      </c>
      <c r="AF16" s="21" t="n">
        <f aca="false">Inputs!$C$26*AF15</f>
        <v>0</v>
      </c>
      <c r="AG16" s="21" t="n">
        <f aca="false">Inputs!$C$26*AG15</f>
        <v>0</v>
      </c>
    </row>
    <row r="17" customFormat="false" ht="15" hidden="false" customHeight="false" outlineLevel="0" collapsed="false">
      <c r="A17" s="13" t="s">
        <v>128</v>
      </c>
      <c r="C17" s="21" t="n">
        <f aca="false">Inputs!$C$27*(0+C15-C16)</f>
        <v>399690.055154034</v>
      </c>
      <c r="D17" s="21" t="n">
        <f aca="false">Inputs!$C$27*(C18+D15-D16)</f>
        <v>375708.651844792</v>
      </c>
      <c r="E17" s="21" t="n">
        <f aca="false">Inputs!$C$27*(D18+E15-E16)</f>
        <v>353166.132734105</v>
      </c>
      <c r="F17" s="21" t="n">
        <f aca="false">Inputs!$C$27*(E18+F15-F16)</f>
        <v>331976.164770058</v>
      </c>
      <c r="G17" s="21" t="n">
        <f aca="false">Inputs!$C$27*(F18+G15-G16)</f>
        <v>312057.594883855</v>
      </c>
      <c r="H17" s="21" t="n">
        <f aca="false">Inputs!$C$27*(G18+H15-H16)</f>
        <v>293334.139190824</v>
      </c>
      <c r="I17" s="21" t="n">
        <f aca="false">Inputs!$C$27*(H18+I15-I16)</f>
        <v>275734.090839374</v>
      </c>
      <c r="J17" s="21" t="n">
        <f aca="false">Inputs!$C$27*(I18+J15-J16)</f>
        <v>259190.045389012</v>
      </c>
      <c r="K17" s="21" t="n">
        <f aca="false">Inputs!$C$27*(J18+K15-K16)</f>
        <v>243638.642665671</v>
      </c>
      <c r="L17" s="21" t="n">
        <f aca="false">Inputs!$C$27*(K18+L15-L16)</f>
        <v>229020.324105731</v>
      </c>
      <c r="M17" s="21" t="n">
        <f aca="false">Inputs!$C$27*(L18+M15-M16)</f>
        <v>260061.766382303</v>
      </c>
      <c r="N17" s="21" t="n">
        <f aca="false">Inputs!$C$27*(M18+N15-N16)</f>
        <v>244458.060399365</v>
      </c>
      <c r="O17" s="21" t="n">
        <f aca="false">Inputs!$C$27*(N18+O15-O16)</f>
        <v>229790.576775403</v>
      </c>
      <c r="P17" s="21" t="n">
        <f aca="false">Inputs!$C$27*(O18+P15-P16)</f>
        <v>216003.142168879</v>
      </c>
      <c r="Q17" s="21" t="n">
        <f aca="false">Inputs!$C$27*(P18+Q15-Q16)</f>
        <v>203042.953638746</v>
      </c>
      <c r="R17" s="21" t="n">
        <f aca="false">Inputs!$C$27*(Q18+R15-R16)</f>
        <v>298576.405553433</v>
      </c>
      <c r="S17" s="21" t="n">
        <f aca="false">Inputs!$C$27*(R18+S15-S16)</f>
        <v>280661.821220227</v>
      </c>
      <c r="T17" s="21" t="n">
        <f aca="false">Inputs!$C$27*(S18+T15-T16)</f>
        <v>263822.111947014</v>
      </c>
      <c r="U17" s="21" t="n">
        <f aca="false">Inputs!$C$27*(T18+U15-U16)</f>
        <v>247992.785230193</v>
      </c>
      <c r="V17" s="21" t="n">
        <f aca="false">Inputs!$C$27*(U18+V15-V16)</f>
        <v>233113.218116381</v>
      </c>
      <c r="W17" s="21" t="n">
        <f aca="false">Inputs!$C$27*(V18+W15-W16)</f>
        <v>321133.62868109</v>
      </c>
      <c r="X17" s="21" t="n">
        <f aca="false">Inputs!$C$27*(W18+X15-X16)</f>
        <v>301865.610960225</v>
      </c>
      <c r="Y17" s="21" t="n">
        <f aca="false">Inputs!$C$27*(X18+Y15-Y16)</f>
        <v>283753.674302611</v>
      </c>
      <c r="Z17" s="21" t="n">
        <f aca="false">Inputs!$C$27*(Y18+Z15-Z16)</f>
        <v>266728.453844455</v>
      </c>
      <c r="AA17" s="21" t="n">
        <f aca="false">Inputs!$C$27*(Z18+AA15-AA16)</f>
        <v>250724.746613787</v>
      </c>
      <c r="AB17" s="21" t="n">
        <f aca="false">Inputs!$C$27*(AA18+AB15-AB16)</f>
        <v>530169.682392753</v>
      </c>
      <c r="AC17" s="21" t="n">
        <f aca="false">Inputs!$C$27*(AB18+AC15-AC16)</f>
        <v>498359.501449188</v>
      </c>
      <c r="AD17" s="21" t="n">
        <f aca="false">Inputs!$C$27*(AC18+AD15-AD16)</f>
        <v>468457.931362237</v>
      </c>
      <c r="AE17" s="21" t="n">
        <f aca="false">Inputs!$C$27*(AD18+AE15-AE16)</f>
        <v>440350.455480502</v>
      </c>
      <c r="AF17" s="21" t="n">
        <f aca="false">Inputs!$C$27*(AE18+AF15-AF16)</f>
        <v>413929.428151672</v>
      </c>
      <c r="AG17" s="21" t="n">
        <f aca="false">Inputs!$C$27*(AF18+AG15-AG16)</f>
        <v>389093.662462572</v>
      </c>
    </row>
    <row r="18" customFormat="false" ht="15" hidden="false" customHeight="false" outlineLevel="0" collapsed="false">
      <c r="A18" s="13" t="s">
        <v>129</v>
      </c>
      <c r="C18" s="21" t="n">
        <f aca="false">0+C15-C16-C17</f>
        <v>6261810.86407987</v>
      </c>
      <c r="D18" s="21" t="n">
        <f aca="false">C18+D15-D16-D17</f>
        <v>5886102.21223508</v>
      </c>
      <c r="E18" s="21" t="n">
        <f aca="false">D18+E15-E16-E17</f>
        <v>5532936.07950097</v>
      </c>
      <c r="F18" s="21" t="n">
        <f aca="false">E18+F15-F16-F17</f>
        <v>5200959.91473091</v>
      </c>
      <c r="G18" s="21" t="n">
        <f aca="false">F18+G15-G16-G17</f>
        <v>4888902.31984706</v>
      </c>
      <c r="H18" s="21" t="n">
        <f aca="false">G18+H15-H16-H17</f>
        <v>4595568.18065624</v>
      </c>
      <c r="I18" s="21" t="n">
        <f aca="false">H18+I15-I16-I17</f>
        <v>4319834.08981686</v>
      </c>
      <c r="J18" s="21" t="n">
        <f aca="false">I18+J15-J16-J17</f>
        <v>4060644.04442785</v>
      </c>
      <c r="K18" s="21" t="n">
        <f aca="false">J18+K15-K16-K17</f>
        <v>3817005.40176218</v>
      </c>
      <c r="L18" s="21" t="n">
        <f aca="false">K18+L15-L16-L17</f>
        <v>3587985.07765645</v>
      </c>
      <c r="M18" s="21" t="n">
        <f aca="false">L18+M15-M16-M17</f>
        <v>4074301.00665608</v>
      </c>
      <c r="N18" s="21" t="n">
        <f aca="false">M18+N15-N16-N17</f>
        <v>3829842.94625671</v>
      </c>
      <c r="O18" s="21" t="n">
        <f aca="false">N18+O15-O16-O17</f>
        <v>3600052.36948131</v>
      </c>
      <c r="P18" s="21" t="n">
        <f aca="false">O18+P15-P16-P17</f>
        <v>3384049.22731243</v>
      </c>
      <c r="Q18" s="21" t="n">
        <f aca="false">P18+Q15-Q16-Q17</f>
        <v>3181006.27367368</v>
      </c>
      <c r="R18" s="21" t="n">
        <f aca="false">Q18+R15-R16-R17</f>
        <v>4677697.02033712</v>
      </c>
      <c r="S18" s="21" t="n">
        <f aca="false">R18+S15-S16-S17</f>
        <v>4397035.1991169</v>
      </c>
      <c r="T18" s="21" t="n">
        <f aca="false">S18+T15-T16-T17</f>
        <v>4133213.08716988</v>
      </c>
      <c r="U18" s="21" t="n">
        <f aca="false">T18+U15-U16-U17</f>
        <v>3885220.30193969</v>
      </c>
      <c r="V18" s="21" t="n">
        <f aca="false">U18+V15-V16-V17</f>
        <v>3652107.08382331</v>
      </c>
      <c r="W18" s="21" t="n">
        <f aca="false">V18+W15-W16-W17</f>
        <v>5031093.51600375</v>
      </c>
      <c r="X18" s="21" t="n">
        <f aca="false">W18+X15-X16-X17</f>
        <v>4729227.90504352</v>
      </c>
      <c r="Y18" s="21" t="n">
        <f aca="false">X18+Y15-Y16-Y17</f>
        <v>4445474.23074091</v>
      </c>
      <c r="Z18" s="21" t="n">
        <f aca="false">Y18+Z15-Z16-Z17</f>
        <v>4178745.77689646</v>
      </c>
      <c r="AA18" s="21" t="n">
        <f aca="false">Z18+AA15-AA16-AA17</f>
        <v>3928021.03028267</v>
      </c>
      <c r="AB18" s="21" t="n">
        <f aca="false">AA18+AB15-AB16-AB17</f>
        <v>8305991.6908198</v>
      </c>
      <c r="AC18" s="21" t="n">
        <f aca="false">AB18+AC15-AC16-AC17</f>
        <v>7807632.18937061</v>
      </c>
      <c r="AD18" s="21" t="n">
        <f aca="false">AC18+AD15-AD16-AD17</f>
        <v>7339174.25800838</v>
      </c>
      <c r="AE18" s="21" t="n">
        <f aca="false">AD18+AE15-AE16-AE17</f>
        <v>6898823.80252787</v>
      </c>
      <c r="AF18" s="21" t="n">
        <f aca="false">AE18+AF15-AF16-AF17</f>
        <v>6484894.3743762</v>
      </c>
      <c r="AG18" s="21" t="n">
        <f aca="false">AF18+AG15-AG16-AG17</f>
        <v>6095800.71191363</v>
      </c>
    </row>
    <row r="19" customFormat="false" ht="15" hidden="false" customHeight="false" outlineLevel="0" collapsed="false">
      <c r="A19" s="13" t="s">
        <v>130</v>
      </c>
      <c r="C19" s="21" t="n">
        <f aca="false">(SUMIF(Inputs!$D$30:$D$46,"main",Inputs!$C$30:$C$46)*Inputs!$C$11+SUMIF(Inputs!$D$30:$D$46,"special",Inputs!$C$30:$C$46)*Inputs!$C$11+SUMIF(Inputs!$D$30:$D$46,"contingency",Inputs!$C$30:$C$46)*Inputs!$C$11)*(1-Inputs!$C$20/(SUMIF(Inputs!$D$30:$D$46,"main",Inputs!$C$30:$C$46)*Inputs!$C$11+SUMIF(Inputs!$D$30:$D$46,"special",Inputs!$C$30:$C$46)*Inputs!$C$11+SUMIF(Inputs!$D$30:$D$46,"contingency",Inputs!$C$30:$C$46)*Inputs!$C$11))-C15+C16+C17</f>
        <v>20064387.9960719</v>
      </c>
      <c r="D19" s="21" t="n">
        <f aca="false">D16+D17</f>
        <v>375708.651844792</v>
      </c>
      <c r="E19" s="21" t="n">
        <f aca="false">E16+E17</f>
        <v>353166.132734105</v>
      </c>
      <c r="F19" s="21" t="n">
        <f aca="false">F16+F17</f>
        <v>331976.164770058</v>
      </c>
      <c r="G19" s="21" t="n">
        <f aca="false">G16+G17</f>
        <v>312057.594883855</v>
      </c>
      <c r="H19" s="21" t="n">
        <f aca="false">H16+H17</f>
        <v>293334.139190824</v>
      </c>
      <c r="I19" s="21" t="n">
        <f aca="false">I16+I17</f>
        <v>275734.090839374</v>
      </c>
      <c r="J19" s="21" t="n">
        <f aca="false">J16+J17</f>
        <v>259190.045389012</v>
      </c>
      <c r="K19" s="21" t="n">
        <f aca="false">K16+K17</f>
        <v>243638.642665671</v>
      </c>
      <c r="L19" s="21" t="n">
        <f aca="false">L16+L17</f>
        <v>229020.324105731</v>
      </c>
      <c r="M19" s="21" t="n">
        <f aca="false">M16+M17</f>
        <v>1006439.46176423</v>
      </c>
      <c r="N19" s="21" t="n">
        <f aca="false">N16+N17</f>
        <v>244458.060399365</v>
      </c>
      <c r="O19" s="21" t="n">
        <f aca="false">O16+O17</f>
        <v>229790.576775403</v>
      </c>
      <c r="P19" s="21" t="n">
        <f aca="false">P16+P17</f>
        <v>216003.142168879</v>
      </c>
      <c r="Q19" s="21" t="n">
        <f aca="false">Q16+Q17</f>
        <v>203042.953638746</v>
      </c>
      <c r="R19" s="21" t="n">
        <f aca="false">R16+R17</f>
        <v>2093843.5577703</v>
      </c>
      <c r="S19" s="21" t="n">
        <f aca="false">S16+S17</f>
        <v>280661.821220227</v>
      </c>
      <c r="T19" s="21" t="n">
        <f aca="false">T16+T17</f>
        <v>263822.111947014</v>
      </c>
      <c r="U19" s="21" t="n">
        <f aca="false">U16+U17</f>
        <v>247992.785230193</v>
      </c>
      <c r="V19" s="21" t="n">
        <f aca="false">V16+V17</f>
        <v>233113.218116381</v>
      </c>
      <c r="W19" s="21" t="n">
        <f aca="false">W16+W17</f>
        <v>2021253.68954262</v>
      </c>
      <c r="X19" s="21" t="n">
        <f aca="false">X16+X17</f>
        <v>301865.610960225</v>
      </c>
      <c r="Y19" s="21" t="n">
        <f aca="false">Y16+Y17</f>
        <v>283753.674302611</v>
      </c>
      <c r="Z19" s="21" t="n">
        <f aca="false">Z16+Z17</f>
        <v>266728.453844455</v>
      </c>
      <c r="AA19" s="21" t="n">
        <f aca="false">AA16+AA17</f>
        <v>250724.746613787</v>
      </c>
      <c r="AB19" s="21" t="n">
        <f aca="false">AB16+AB17</f>
        <v>5438310.02532264</v>
      </c>
      <c r="AC19" s="21" t="n">
        <f aca="false">AC16+AC17</f>
        <v>498359.501449188</v>
      </c>
      <c r="AD19" s="21" t="n">
        <f aca="false">AD16+AD17</f>
        <v>468457.931362237</v>
      </c>
      <c r="AE19" s="21" t="n">
        <f aca="false">AE16+AE17</f>
        <v>440350.455480502</v>
      </c>
      <c r="AF19" s="21" t="n">
        <f aca="false">AF16+AF17</f>
        <v>413929.428151672</v>
      </c>
      <c r="AG19" s="21" t="n">
        <f aca="false">AG16+AG17+AG18-AG14</f>
        <v>-3148838.15153061</v>
      </c>
    </row>
    <row r="20" customFormat="false" ht="15" hidden="false" customHeight="false" outlineLevel="0" collapsed="false">
      <c r="A20" s="13" t="s">
        <v>131</v>
      </c>
      <c r="B20" s="21" t="n">
        <f aca="false">C20</f>
        <v>19649527.2600979</v>
      </c>
      <c r="C20" s="21" t="n">
        <f aca="false">Inputs!$C$16</f>
        <v>19649527.2600979</v>
      </c>
      <c r="D20" s="21" t="n">
        <f aca="false">C20*(1+Inputs!$C$17)</f>
        <v>20926746.5320043</v>
      </c>
      <c r="E20" s="21" t="n">
        <f aca="false">D20-E22</f>
        <v>20105776.0643722</v>
      </c>
      <c r="F20" s="21" t="n">
        <f aca="false">E20-F22</f>
        <v>19187818.3364998</v>
      </c>
      <c r="G20" s="21" t="n">
        <f aca="false">F20-G22</f>
        <v>18165696.6928745</v>
      </c>
      <c r="H20" s="21" t="n">
        <f aca="false">G20-H22</f>
        <v>17031750.5457037</v>
      </c>
      <c r="I20" s="21" t="n">
        <f aca="false">H20-I22</f>
        <v>15777803.5703225</v>
      </c>
      <c r="J20" s="21" t="n">
        <f aca="false">I20-J22</f>
        <v>14395129.8263246</v>
      </c>
      <c r="K20" s="21" t="n">
        <f aca="false">J20-K22</f>
        <v>12874417.6694455</v>
      </c>
      <c r="L20" s="21" t="n">
        <f aca="false">K20-L22</f>
        <v>11205731.3104573</v>
      </c>
      <c r="M20" s="21" t="n">
        <f aca="false">L20-M22</f>
        <v>9378469.86798497</v>
      </c>
      <c r="N20" s="21" t="n">
        <f aca="false">M20-N22</f>
        <v>7423061.31936514</v>
      </c>
      <c r="O20" s="21" t="n">
        <f aca="false">N20-O22</f>
        <v>5845975.54278235</v>
      </c>
      <c r="P20" s="21" t="n">
        <f aca="false">O20-P22</f>
        <v>4151296.25538114</v>
      </c>
      <c r="Q20" s="21" t="n">
        <f aca="false">P20-Q22</f>
        <v>2331976.29485103</v>
      </c>
      <c r="R20" s="21" t="n">
        <f aca="false">Q20-R22</f>
        <v>0</v>
      </c>
      <c r="S20" s="21" t="n">
        <f aca="false">R20-S22</f>
        <v>0</v>
      </c>
      <c r="T20" s="21" t="n">
        <f aca="false">S20-T22</f>
        <v>0</v>
      </c>
      <c r="U20" s="21" t="n">
        <f aca="false">T20-U22</f>
        <v>0</v>
      </c>
      <c r="V20" s="21" t="n">
        <f aca="false">U20-V22</f>
        <v>0</v>
      </c>
      <c r="W20" s="21" t="n">
        <f aca="false">V20-W22</f>
        <v>0</v>
      </c>
      <c r="X20" s="21" t="n">
        <f aca="false">W20-X22</f>
        <v>0</v>
      </c>
      <c r="Y20" s="21" t="n">
        <f aca="false">X20-Y22</f>
        <v>0</v>
      </c>
      <c r="Z20" s="21" t="n">
        <f aca="false">Y20-Z22</f>
        <v>0</v>
      </c>
      <c r="AA20" s="21" t="n">
        <f aca="false">Z20-AA22</f>
        <v>0</v>
      </c>
      <c r="AB20" s="21" t="n">
        <f aca="false">AA20-AB22</f>
        <v>0</v>
      </c>
      <c r="AC20" s="21" t="n">
        <f aca="false">AB20-AC22</f>
        <v>0</v>
      </c>
      <c r="AD20" s="21" t="n">
        <f aca="false">AC20-AD22</f>
        <v>0</v>
      </c>
      <c r="AE20" s="21" t="n">
        <f aca="false">AD20-AE22</f>
        <v>0</v>
      </c>
      <c r="AF20" s="21" t="n">
        <f aca="false">AE20-AF22</f>
        <v>0</v>
      </c>
      <c r="AG20" s="21" t="n">
        <f aca="false">AF20-AG22</f>
        <v>0</v>
      </c>
    </row>
    <row r="21" customFormat="false" ht="15" hidden="false" customHeight="false" outlineLevel="0" collapsed="false">
      <c r="A21" s="13" t="s">
        <v>132</v>
      </c>
      <c r="C21" s="21" t="n">
        <v>0</v>
      </c>
      <c r="D21" s="21" t="n">
        <v>0</v>
      </c>
      <c r="E21" s="21" t="n">
        <f aca="false">IF(2&lt;=Inputs!$C$18,D20*Inputs!$C$17,0)</f>
        <v>1360238.52458028</v>
      </c>
      <c r="F21" s="21" t="n">
        <f aca="false">IF(3&lt;=Inputs!$C$18,E20*Inputs!$C$17,0)</f>
        <v>1306875.44418419</v>
      </c>
      <c r="G21" s="21" t="n">
        <f aca="false">IF(4&lt;=Inputs!$C$18,F20*Inputs!$C$17,0)</f>
        <v>1247208.19187248</v>
      </c>
      <c r="H21" s="21" t="n">
        <f aca="false">IF(5&lt;=Inputs!$C$18,G20*Inputs!$C$17,0)</f>
        <v>1180770.28503684</v>
      </c>
      <c r="I21" s="21" t="n">
        <f aca="false">IF(6&lt;=Inputs!$C$18,H20*Inputs!$C$17,0)</f>
        <v>1107063.78547074</v>
      </c>
      <c r="J21" s="21" t="n">
        <f aca="false">IF(7&lt;=Inputs!$C$18,I20*Inputs!$C$17,0)</f>
        <v>1025557.23207097</v>
      </c>
      <c r="K21" s="21" t="n">
        <f aca="false">IF(8&lt;=Inputs!$C$18,J20*Inputs!$C$17,0)</f>
        <v>935683.4387111</v>
      </c>
      <c r="L21" s="21" t="n">
        <f aca="false">IF(9&lt;=Inputs!$C$18,K20*Inputs!$C$17,0)</f>
        <v>836837.148513955</v>
      </c>
      <c r="M21" s="21" t="n">
        <f aca="false">IF(10&lt;=Inputs!$C$18,L20*Inputs!$C$17,0)</f>
        <v>728372.535179728</v>
      </c>
      <c r="N21" s="21" t="n">
        <f aca="false">IF(11&lt;=Inputs!$C$18,M20*Inputs!$C$17,0)</f>
        <v>609600.541419023</v>
      </c>
      <c r="O21" s="21" t="n">
        <f aca="false">IF(12&lt;=Inputs!$C$18,N20*Inputs!$C$17,0)</f>
        <v>482498.985758734</v>
      </c>
      <c r="P21" s="21" t="n">
        <f aca="false">IF(13&lt;=Inputs!$C$18,O20*Inputs!$C$17,0)</f>
        <v>379988.410280852</v>
      </c>
      <c r="Q21" s="21" t="n">
        <f aca="false">IF(14&lt;=Inputs!$C$18,P20*Inputs!$C$17,0)</f>
        <v>269834.256599774</v>
      </c>
      <c r="R21" s="21" t="n">
        <f aca="false">IF(15&lt;=Inputs!$C$18,Q20*Inputs!$C$17,0)</f>
        <v>151578.459165317</v>
      </c>
      <c r="S21" s="21" t="n">
        <f aca="false">IF(16&lt;=Inputs!$C$18,R20*Inputs!$C$17,0)</f>
        <v>0</v>
      </c>
      <c r="T21" s="21" t="n">
        <f aca="false">IF(17&lt;=Inputs!$C$18,S20*Inputs!$C$17,0)</f>
        <v>0</v>
      </c>
      <c r="U21" s="21" t="n">
        <f aca="false">IF(18&lt;=Inputs!$C$18,T20*Inputs!$C$17,0)</f>
        <v>0</v>
      </c>
      <c r="V21" s="21" t="n">
        <f aca="false">IF(19&lt;=Inputs!$C$18,U20*Inputs!$C$17,0)</f>
        <v>0</v>
      </c>
      <c r="W21" s="21" t="n">
        <f aca="false">IF(20&lt;=Inputs!$C$18,V20*Inputs!$C$17,0)</f>
        <v>0</v>
      </c>
      <c r="X21" s="21" t="n">
        <f aca="false">IF(21&lt;=Inputs!$C$18,W20*Inputs!$C$17,0)</f>
        <v>0</v>
      </c>
      <c r="Y21" s="21" t="n">
        <f aca="false">IF(22&lt;=Inputs!$C$18,X20*Inputs!$C$17,0)</f>
        <v>0</v>
      </c>
      <c r="Z21" s="21" t="n">
        <f aca="false">IF(23&lt;=Inputs!$C$18,Y20*Inputs!$C$17,0)</f>
        <v>0</v>
      </c>
      <c r="AA21" s="21" t="n">
        <f aca="false">IF(24&lt;=Inputs!$C$18,Z20*Inputs!$C$17,0)</f>
        <v>0</v>
      </c>
      <c r="AB21" s="21" t="n">
        <f aca="false">IF(25&lt;=Inputs!$C$18,AA20*Inputs!$C$17,0)</f>
        <v>0</v>
      </c>
      <c r="AC21" s="21" t="n">
        <f aca="false">IF(26&lt;=Inputs!$C$18,AB20*Inputs!$C$17,0)</f>
        <v>0</v>
      </c>
      <c r="AD21" s="21" t="n">
        <f aca="false">IF(27&lt;=Inputs!$C$18,AC20*Inputs!$C$17,0)</f>
        <v>0</v>
      </c>
      <c r="AE21" s="21" t="n">
        <f aca="false">IF(28&lt;=Inputs!$C$18,AD20*Inputs!$C$17,0)</f>
        <v>0</v>
      </c>
      <c r="AF21" s="21" t="n">
        <f aca="false">IF(29&lt;=Inputs!$C$18,AE20*Inputs!$C$17,0)</f>
        <v>0</v>
      </c>
      <c r="AG21" s="21" t="n">
        <f aca="false">IF(30&lt;=Inputs!$C$18,AF20*Inputs!$C$17,0)</f>
        <v>0</v>
      </c>
    </row>
    <row r="22" customFormat="false" ht="15" hidden="false" customHeight="false" outlineLevel="0" collapsed="false">
      <c r="A22" s="13" t="s">
        <v>133</v>
      </c>
      <c r="C22" s="21" t="n">
        <v>0</v>
      </c>
      <c r="D22" s="21" t="n">
        <v>0</v>
      </c>
      <c r="E22" s="21" t="n">
        <f aca="false">MAX(MIN(Inputs!G77-E21,D20),0)</f>
        <v>820970.467632082</v>
      </c>
      <c r="F22" s="21" t="n">
        <f aca="false">MAX(MIN(Inputs!H77-F21,E20),0)</f>
        <v>917957.727872416</v>
      </c>
      <c r="G22" s="21" t="n">
        <f aca="false">MAX(MIN(Inputs!I77-G21,F20),0)</f>
        <v>1022121.64362525</v>
      </c>
      <c r="H22" s="21" t="n">
        <f aca="false">MAX(MIN(Inputs!J77-H21,G20),0)</f>
        <v>1133946.14717085</v>
      </c>
      <c r="I22" s="21" t="n">
        <f aca="false">MAX(MIN(Inputs!K77-I21,H20),0)</f>
        <v>1253946.97538111</v>
      </c>
      <c r="J22" s="21" t="n">
        <f aca="false">MAX(MIN(Inputs!L77-J21,I20),0)</f>
        <v>1382673.74399792</v>
      </c>
      <c r="K22" s="21" t="n">
        <f aca="false">MAX(MIN(Inputs!M77-K21,J20),0)</f>
        <v>1520712.15687916</v>
      </c>
      <c r="L22" s="21" t="n">
        <f aca="false">MAX(MIN(Inputs!N77-L21,K20),0)</f>
        <v>1668686.35898811</v>
      </c>
      <c r="M22" s="21" t="n">
        <f aca="false">MAX(MIN(Inputs!O77-M21,L20),0)</f>
        <v>1827261.44247238</v>
      </c>
      <c r="N22" s="21" t="n">
        <f aca="false">MAX(MIN(Inputs!P77-N21,M20),0)</f>
        <v>1955408.54861983</v>
      </c>
      <c r="O22" s="21" t="n">
        <f aca="false">MAX(MIN(Inputs!Q77-O21,N20),0)</f>
        <v>1577085.7765828</v>
      </c>
      <c r="P22" s="21" t="n">
        <f aca="false">MAX(MIN(Inputs!R77-P21,O20),0)</f>
        <v>1694679.2874012</v>
      </c>
      <c r="Q22" s="21" t="n">
        <f aca="false">MAX(MIN(Inputs!S77-Q21,P20),0)</f>
        <v>1819319.96053012</v>
      </c>
      <c r="R22" s="21" t="n">
        <f aca="false">MAX(MIN(Inputs!T77-R21,Q20),0)</f>
        <v>2331976.29485102</v>
      </c>
      <c r="S22" s="21" t="n">
        <f aca="false">MAX(MIN(Inputs!U77-S21,R20),0)</f>
        <v>0</v>
      </c>
      <c r="T22" s="21" t="n">
        <f aca="false">MAX(MIN(Inputs!V77-T21,S20),0)</f>
        <v>0</v>
      </c>
      <c r="U22" s="21" t="n">
        <f aca="false">MAX(MIN(Inputs!W77-U21,T20),0)</f>
        <v>0</v>
      </c>
      <c r="V22" s="21" t="n">
        <f aca="false">MAX(MIN(Inputs!X77-V21,U20),0)</f>
        <v>0</v>
      </c>
      <c r="W22" s="21" t="n">
        <f aca="false">MAX(MIN(Inputs!Y77-W21,V20),0)</f>
        <v>0</v>
      </c>
      <c r="X22" s="21" t="n">
        <f aca="false">MAX(MIN(Inputs!Z77-X21,W20),0)</f>
        <v>0</v>
      </c>
      <c r="Y22" s="21" t="n">
        <f aca="false">MAX(MIN(Inputs!AA77-Y21,X20),0)</f>
        <v>0</v>
      </c>
      <c r="Z22" s="21" t="n">
        <f aca="false">MAX(MIN(Inputs!AB77-Z21,Y20),0)</f>
        <v>0</v>
      </c>
      <c r="AA22" s="21" t="n">
        <f aca="false">MAX(MIN(Inputs!AC77-AA21,Z20),0)</f>
        <v>0</v>
      </c>
      <c r="AB22" s="21" t="n">
        <f aca="false">MAX(MIN(Inputs!AD77-AB21,AA20),0)</f>
        <v>0</v>
      </c>
      <c r="AC22" s="21" t="n">
        <f aca="false">MAX(MIN(Inputs!AE77-AC21,AB20),0)</f>
        <v>0</v>
      </c>
      <c r="AD22" s="21" t="n">
        <f aca="false">MAX(MIN(Inputs!AF77-AD21,AC20),0)</f>
        <v>0</v>
      </c>
      <c r="AE22" s="21" t="n">
        <f aca="false">MAX(MIN(Inputs!AG77-AE21,AD20),0)</f>
        <v>0</v>
      </c>
      <c r="AF22" s="21" t="n">
        <f aca="false">MAX(MIN(Inputs!AH77-AF21,AE20),0)</f>
        <v>0</v>
      </c>
      <c r="AG22" s="21" t="n">
        <f aca="false">MAX(MIN(Inputs!AI77-AG21,AF20),0)</f>
        <v>0</v>
      </c>
    </row>
    <row r="23" customFormat="false" ht="15" hidden="false" customHeight="false" outlineLevel="0" collapsed="false">
      <c r="A23" s="13" t="s">
        <v>134</v>
      </c>
      <c r="C23" s="21" t="n">
        <f aca="false">C21+C22</f>
        <v>0</v>
      </c>
      <c r="D23" s="21" t="n">
        <f aca="false">D21+D22</f>
        <v>0</v>
      </c>
      <c r="E23" s="21" t="n">
        <f aca="false">E21+E22</f>
        <v>2181208.99221236</v>
      </c>
      <c r="F23" s="21" t="n">
        <f aca="false">F21+F22</f>
        <v>2224833.17205661</v>
      </c>
      <c r="G23" s="21" t="n">
        <f aca="false">G21+G22</f>
        <v>2269329.83549774</v>
      </c>
      <c r="H23" s="21" t="n">
        <f aca="false">H21+H22</f>
        <v>2314716.43220769</v>
      </c>
      <c r="I23" s="21" t="n">
        <f aca="false">I21+I22</f>
        <v>2361010.76085185</v>
      </c>
      <c r="J23" s="21" t="n">
        <f aca="false">J21+J22</f>
        <v>2408230.97606888</v>
      </c>
      <c r="K23" s="21" t="n">
        <f aca="false">K21+K22</f>
        <v>2456395.59559026</v>
      </c>
      <c r="L23" s="21" t="n">
        <f aca="false">L21+L22</f>
        <v>2505523.50750207</v>
      </c>
      <c r="M23" s="21" t="n">
        <f aca="false">M21+M22</f>
        <v>2555633.97765211</v>
      </c>
      <c r="N23" s="21" t="n">
        <f aca="false">N21+N22</f>
        <v>2565009.09003885</v>
      </c>
      <c r="O23" s="21" t="n">
        <f aca="false">O21+O22</f>
        <v>2059584.76234153</v>
      </c>
      <c r="P23" s="21" t="n">
        <f aca="false">P21+P22</f>
        <v>2074667.69768205</v>
      </c>
      <c r="Q23" s="21" t="n">
        <f aca="false">Q21+Q22</f>
        <v>2089154.21712989</v>
      </c>
      <c r="R23" s="21" t="n">
        <f aca="false">R21+R22</f>
        <v>2483554.75401634</v>
      </c>
      <c r="S23" s="21" t="n">
        <f aca="false">S21+S22</f>
        <v>0</v>
      </c>
      <c r="T23" s="21" t="n">
        <f aca="false">T21+T22</f>
        <v>0</v>
      </c>
      <c r="U23" s="21" t="n">
        <f aca="false">U21+U22</f>
        <v>0</v>
      </c>
      <c r="V23" s="21" t="n">
        <f aca="false">V21+V22</f>
        <v>0</v>
      </c>
      <c r="W23" s="21" t="n">
        <f aca="false">W21+W22</f>
        <v>0</v>
      </c>
      <c r="X23" s="21" t="n">
        <f aca="false">X21+X22</f>
        <v>0</v>
      </c>
      <c r="Y23" s="21" t="n">
        <f aca="false">Y21+Y22</f>
        <v>0</v>
      </c>
      <c r="Z23" s="21" t="n">
        <f aca="false">Z21+Z22</f>
        <v>0</v>
      </c>
      <c r="AA23" s="21" t="n">
        <f aca="false">AA21+AA22</f>
        <v>0</v>
      </c>
      <c r="AB23" s="21" t="n">
        <f aca="false">AB21+AB22</f>
        <v>0</v>
      </c>
      <c r="AC23" s="21" t="n">
        <f aca="false">AC21+AC22</f>
        <v>0</v>
      </c>
      <c r="AD23" s="21" t="n">
        <f aca="false">AD21+AD22</f>
        <v>0</v>
      </c>
      <c r="AE23" s="21" t="n">
        <f aca="false">AE21+AE22</f>
        <v>0</v>
      </c>
      <c r="AF23" s="21" t="n">
        <f aca="false">AF21+AF22</f>
        <v>0</v>
      </c>
      <c r="AG23" s="21" t="n">
        <f aca="false">AG21+AG22</f>
        <v>0</v>
      </c>
    </row>
    <row r="24" customFormat="false" ht="15" hidden="false" customHeight="false" outlineLevel="0" collapsed="false">
      <c r="A24" s="13" t="s">
        <v>135</v>
      </c>
      <c r="C24" s="21" t="n">
        <f aca="false">C11-C19-C21</f>
        <v>-20064387.9960719</v>
      </c>
      <c r="D24" s="21" t="n">
        <f aca="false">D11-D19-D21</f>
        <v>1996867.2937666</v>
      </c>
      <c r="E24" s="21" t="n">
        <f aca="false">E11-E19-E21</f>
        <v>2820144.93632239</v>
      </c>
      <c r="F24" s="21" t="n">
        <f aca="false">F11-F19-F21</f>
        <v>2985368.97655526</v>
      </c>
      <c r="G24" s="21" t="n">
        <f aca="false">G11-G19-G21</f>
        <v>3157439.21046336</v>
      </c>
      <c r="H24" s="21" t="n">
        <f aca="false">H11-H19-H21</f>
        <v>3336934.67293642</v>
      </c>
      <c r="I24" s="21" t="n">
        <f aca="false">I11-I19-I21</f>
        <v>3524462.00279726</v>
      </c>
      <c r="J24" s="21" t="n">
        <f aca="false">J11-J19-J21</f>
        <v>3720657.79922954</v>
      </c>
      <c r="K24" s="21" t="n">
        <f aca="false">K11-K19-K21</f>
        <v>3926191.09684654</v>
      </c>
      <c r="L24" s="21" t="n">
        <f aca="false">L11-L19-L21</f>
        <v>4141765.96916809</v>
      </c>
      <c r="M24" s="21" t="n">
        <f aca="false">M11-M19-M21</f>
        <v>3576963.91367957</v>
      </c>
      <c r="N24" s="21" t="n">
        <f aca="false">N11-N19-N21</f>
        <v>4563952.82701762</v>
      </c>
      <c r="O24" s="21" t="n">
        <f aca="false">O11-O19-O21</f>
        <v>4814082.09487859</v>
      </c>
      <c r="P24" s="21" t="n">
        <f aca="false">P11-P19-P21</f>
        <v>5040907.53811125</v>
      </c>
      <c r="Q24" s="21" t="n">
        <f aca="false">Q11-Q19-Q21</f>
        <v>5276759.86213368</v>
      </c>
      <c r="R24" s="21" t="n">
        <f aca="false">R11-R19-R21</f>
        <v>3619207.79688402</v>
      </c>
      <c r="S24" s="21" t="n">
        <f aca="false">S11-S19-S21</f>
        <v>5701260.58887581</v>
      </c>
      <c r="T24" s="21" t="n">
        <f aca="false">T11-T19-T21</f>
        <v>5837738.74635094</v>
      </c>
      <c r="U24" s="21" t="n">
        <f aca="false">U11-U19-U21</f>
        <v>5975599.29023372</v>
      </c>
      <c r="V24" s="21" t="n">
        <f aca="false">V11-V19-V21</f>
        <v>6114950.69885681</v>
      </c>
      <c r="W24" s="21" t="n">
        <f aca="false">W11-W19-W21</f>
        <v>4453771.50577004</v>
      </c>
      <c r="X24" s="21" t="n">
        <f aca="false">X11-X19-X21</f>
        <v>6302660.08825869</v>
      </c>
      <c r="Y24" s="21" t="n">
        <f aca="false">Y11-Y19-Y21</f>
        <v>6452862.53890068</v>
      </c>
      <c r="Z24" s="21" t="n">
        <f aca="false">Z11-Z19-Z21</f>
        <v>6604620.0836229</v>
      </c>
      <c r="AA24" s="21" t="n">
        <f aca="false">AA11-AA19-AA21</f>
        <v>6758050.76160292</v>
      </c>
      <c r="AB24" s="21" t="n">
        <f aca="false">AB11-AB19-AB21</f>
        <v>1710640.9930584</v>
      </c>
      <c r="AC24" s="21" t="n">
        <f aca="false">AC11-AC19-AC21</f>
        <v>6793570.53729947</v>
      </c>
      <c r="AD24" s="21" t="n">
        <f aca="false">AD11-AD19-AD21</f>
        <v>6969310.70816139</v>
      </c>
      <c r="AE24" s="21" t="n">
        <f aca="false">AE11-AE19-AE21</f>
        <v>7146173.5568336</v>
      </c>
      <c r="AF24" s="21" t="n">
        <f aca="false">AF11-AF19-AF21</f>
        <v>7324325.06440871</v>
      </c>
      <c r="AG24" s="21" t="n">
        <f aca="false">AG11-AG19-AG21</f>
        <v>11041857.7339422</v>
      </c>
    </row>
    <row r="25" customFormat="false" ht="15" hidden="false" customHeight="false" outlineLevel="0" collapsed="false">
      <c r="A25" s="13" t="s">
        <v>136</v>
      </c>
      <c r="C25" s="21" t="n">
        <v>0</v>
      </c>
      <c r="D25" s="21" t="n">
        <f aca="false">MIN(C26,MAX(D24,0))</f>
        <v>1996867.2937666</v>
      </c>
      <c r="E25" s="21" t="n">
        <f aca="false">MIN(D26,MAX(E24,0))</f>
        <v>2820144.93632239</v>
      </c>
      <c r="F25" s="21" t="n">
        <f aca="false">MIN(E26,MAX(F24,0))</f>
        <v>2985368.97655526</v>
      </c>
      <c r="G25" s="21" t="n">
        <f aca="false">MIN(F26,MAX(G24,0))</f>
        <v>3157439.21046336</v>
      </c>
      <c r="H25" s="21" t="n">
        <f aca="false">MIN(G26,MAX(H24,0))</f>
        <v>3336934.67293642</v>
      </c>
      <c r="I25" s="21" t="n">
        <f aca="false">MIN(H26,MAX(I24,0))</f>
        <v>3524462.00279726</v>
      </c>
      <c r="J25" s="21" t="n">
        <f aca="false">MIN(I26,MAX(J24,0))</f>
        <v>2243170.90323064</v>
      </c>
      <c r="K25" s="21" t="n">
        <f aca="false">MIN(J26,MAX(K24,0))</f>
        <v>0</v>
      </c>
      <c r="L25" s="21" t="n">
        <f aca="false">MIN(K26,MAX(L24,0))</f>
        <v>0</v>
      </c>
      <c r="M25" s="21" t="n">
        <f aca="false">MIN(L26,MAX(M24,0))</f>
        <v>0</v>
      </c>
      <c r="N25" s="21" t="n">
        <f aca="false">MIN(M26,MAX(N24,0))</f>
        <v>0</v>
      </c>
      <c r="O25" s="21" t="n">
        <f aca="false">MIN(N26,MAX(O24,0))</f>
        <v>0</v>
      </c>
      <c r="P25" s="21" t="n">
        <f aca="false">MIN(O26,MAX(P24,0))</f>
        <v>0</v>
      </c>
      <c r="Q25" s="21" t="n">
        <f aca="false">MIN(P26,MAX(Q24,0))</f>
        <v>0</v>
      </c>
      <c r="R25" s="21" t="n">
        <f aca="false">MIN(Q26,MAX(R24,0))</f>
        <v>0</v>
      </c>
      <c r="S25" s="21" t="n">
        <f aca="false">MIN(R26,MAX(S24,0))</f>
        <v>0</v>
      </c>
      <c r="T25" s="21" t="n">
        <f aca="false">MIN(S26,MAX(T24,0))</f>
        <v>0</v>
      </c>
      <c r="U25" s="21" t="n">
        <f aca="false">MIN(T26,MAX(U24,0))</f>
        <v>0</v>
      </c>
      <c r="V25" s="21" t="n">
        <f aca="false">MIN(U26,MAX(V24,0))</f>
        <v>0</v>
      </c>
      <c r="W25" s="21" t="n">
        <f aca="false">MIN(V26,MAX(W24,0))</f>
        <v>0</v>
      </c>
      <c r="X25" s="21" t="n">
        <f aca="false">MIN(W26,MAX(X24,0))</f>
        <v>0</v>
      </c>
      <c r="Y25" s="21" t="n">
        <f aca="false">MIN(X26,MAX(Y24,0))</f>
        <v>0</v>
      </c>
      <c r="Z25" s="21" t="n">
        <f aca="false">MIN(Y26,MAX(Z24,0))</f>
        <v>0</v>
      </c>
      <c r="AA25" s="21" t="n">
        <f aca="false">MIN(Z26,MAX(AA24,0))</f>
        <v>0</v>
      </c>
      <c r="AB25" s="21" t="n">
        <f aca="false">MIN(AA26,MAX(AB24,0))</f>
        <v>0</v>
      </c>
      <c r="AC25" s="21" t="n">
        <f aca="false">MIN(AB26,MAX(AC24,0))</f>
        <v>0</v>
      </c>
      <c r="AD25" s="21" t="n">
        <f aca="false">MIN(AC26,MAX(AD24,0))</f>
        <v>0</v>
      </c>
      <c r="AE25" s="21" t="n">
        <f aca="false">MIN(AD26,MAX(AE24,0))</f>
        <v>0</v>
      </c>
      <c r="AF25" s="21" t="n">
        <f aca="false">MIN(AE26,MAX(AF24,0))</f>
        <v>0</v>
      </c>
      <c r="AG25" s="21" t="n">
        <f aca="false">MIN(AF26,MAX(AG24,0))</f>
        <v>0</v>
      </c>
    </row>
    <row r="26" customFormat="false" ht="15" hidden="false" customHeight="false" outlineLevel="0" collapsed="false">
      <c r="A26" s="13" t="s">
        <v>137</v>
      </c>
      <c r="C26" s="21" t="n">
        <f aca="false">0-C25+MAX(-C24,0)</f>
        <v>20064387.9960719</v>
      </c>
      <c r="D26" s="21" t="n">
        <f aca="false">C26-D25+MAX(-D24,0)</f>
        <v>18067520.7023053</v>
      </c>
      <c r="E26" s="21" t="n">
        <f aca="false">D26-E25+MAX(-E24,0)</f>
        <v>15247375.7659829</v>
      </c>
      <c r="F26" s="21" t="n">
        <f aca="false">E26-F25+MAX(-F24,0)</f>
        <v>12262006.7894277</v>
      </c>
      <c r="G26" s="21" t="n">
        <f aca="false">F26-G25+MAX(-G24,0)</f>
        <v>9104567.57896433</v>
      </c>
      <c r="H26" s="21" t="n">
        <f aca="false">G26-H25+MAX(-H24,0)</f>
        <v>5767632.9060279</v>
      </c>
      <c r="I26" s="21" t="n">
        <f aca="false">H26-I25+MAX(-I24,0)</f>
        <v>2243170.90323064</v>
      </c>
      <c r="J26" s="21" t="n">
        <f aca="false">I26-J25+MAX(-J24,0)</f>
        <v>0</v>
      </c>
      <c r="K26" s="21" t="n">
        <f aca="false">J26-K25+MAX(-K24,0)</f>
        <v>0</v>
      </c>
      <c r="L26" s="21" t="n">
        <f aca="false">K26-L25+MAX(-L24,0)</f>
        <v>0</v>
      </c>
      <c r="M26" s="21" t="n">
        <f aca="false">L26-M25+MAX(-M24,0)</f>
        <v>0</v>
      </c>
      <c r="N26" s="21" t="n">
        <f aca="false">M26-N25+MAX(-N24,0)</f>
        <v>0</v>
      </c>
      <c r="O26" s="21" t="n">
        <f aca="false">N26-O25+MAX(-O24,0)</f>
        <v>0</v>
      </c>
      <c r="P26" s="21" t="n">
        <f aca="false">O26-P25+MAX(-P24,0)</f>
        <v>0</v>
      </c>
      <c r="Q26" s="21" t="n">
        <f aca="false">P26-Q25+MAX(-Q24,0)</f>
        <v>0</v>
      </c>
      <c r="R26" s="21" t="n">
        <f aca="false">Q26-R25+MAX(-R24,0)</f>
        <v>0</v>
      </c>
      <c r="S26" s="21" t="n">
        <f aca="false">R26-S25+MAX(-S24,0)</f>
        <v>0</v>
      </c>
      <c r="T26" s="21" t="n">
        <f aca="false">S26-T25+MAX(-T24,0)</f>
        <v>0</v>
      </c>
      <c r="U26" s="21" t="n">
        <f aca="false">T26-U25+MAX(-U24,0)</f>
        <v>0</v>
      </c>
      <c r="V26" s="21" t="n">
        <f aca="false">U26-V25+MAX(-V24,0)</f>
        <v>0</v>
      </c>
      <c r="W26" s="21" t="n">
        <f aca="false">V26-W25+MAX(-W24,0)</f>
        <v>0</v>
      </c>
      <c r="X26" s="21" t="n">
        <f aca="false">W26-X25+MAX(-X24,0)</f>
        <v>0</v>
      </c>
      <c r="Y26" s="21" t="n">
        <f aca="false">X26-Y25+MAX(-Y24,0)</f>
        <v>0</v>
      </c>
      <c r="Z26" s="21" t="n">
        <f aca="false">Y26-Z25+MAX(-Z24,0)</f>
        <v>0</v>
      </c>
      <c r="AA26" s="21" t="n">
        <f aca="false">Z26-AA25+MAX(-AA24,0)</f>
        <v>0</v>
      </c>
      <c r="AB26" s="21" t="n">
        <f aca="false">AA26-AB25+MAX(-AB24,0)</f>
        <v>0</v>
      </c>
      <c r="AC26" s="21" t="n">
        <f aca="false">AB26-AC25+MAX(-AC24,0)</f>
        <v>0</v>
      </c>
      <c r="AD26" s="21" t="n">
        <f aca="false">AC26-AD25+MAX(-AD24,0)</f>
        <v>0</v>
      </c>
      <c r="AE26" s="21" t="n">
        <f aca="false">AD26-AE25+MAX(-AE24,0)</f>
        <v>0</v>
      </c>
      <c r="AF26" s="21" t="n">
        <f aca="false">AE26-AF25+MAX(-AF24,0)</f>
        <v>0</v>
      </c>
      <c r="AG26" s="21" t="n">
        <f aca="false">AF26-AG25+MAX(-AG24,0)</f>
        <v>0</v>
      </c>
    </row>
    <row r="27" customFormat="false" ht="15" hidden="false" customHeight="false" outlineLevel="0" collapsed="false">
      <c r="A27" s="13" t="s">
        <v>138</v>
      </c>
      <c r="C27" s="21" t="n">
        <f aca="false">Inputs!$C$7*(MAX(C24,0)-C25)</f>
        <v>0</v>
      </c>
      <c r="D27" s="21" t="n">
        <f aca="false">Inputs!$C$7*(MAX(D24,0)-D25)</f>
        <v>0</v>
      </c>
      <c r="E27" s="21" t="n">
        <f aca="false">Inputs!$C$7*(MAX(E24,0)-E25)</f>
        <v>0</v>
      </c>
      <c r="F27" s="21" t="n">
        <f aca="false">Inputs!$C$7*(MAX(F24,0)-F25)</f>
        <v>0</v>
      </c>
      <c r="G27" s="21" t="n">
        <f aca="false">Inputs!$C$7*(MAX(G24,0)-G25)</f>
        <v>0</v>
      </c>
      <c r="H27" s="21" t="n">
        <f aca="false">Inputs!$C$7*(MAX(H24,0)-H25)</f>
        <v>0</v>
      </c>
      <c r="I27" s="21" t="n">
        <f aca="false">Inputs!$C$7*(MAX(I24,0)-I25)</f>
        <v>0</v>
      </c>
      <c r="J27" s="21" t="n">
        <f aca="false">Inputs!$C$7*(MAX(J24,0)-J25)</f>
        <v>369371.723999725</v>
      </c>
      <c r="K27" s="21" t="n">
        <f aca="false">Inputs!$C$7*(MAX(K24,0)-K25)</f>
        <v>981547.774211635</v>
      </c>
      <c r="L27" s="21" t="n">
        <f aca="false">Inputs!$C$7*(MAX(L24,0)-L25)</f>
        <v>1035441.49229202</v>
      </c>
      <c r="M27" s="21" t="n">
        <f aca="false">Inputs!$C$7*(MAX(M24,0)-M25)</f>
        <v>894240.978419893</v>
      </c>
      <c r="N27" s="21" t="n">
        <f aca="false">Inputs!$C$7*(MAX(N24,0)-N25)</f>
        <v>1140988.2067544</v>
      </c>
      <c r="O27" s="21" t="n">
        <f aca="false">Inputs!$C$7*(MAX(O24,0)-O25)</f>
        <v>1203520.52371965</v>
      </c>
      <c r="P27" s="21" t="n">
        <f aca="false">Inputs!$C$7*(MAX(P24,0)-P25)</f>
        <v>1260226.88452781</v>
      </c>
      <c r="Q27" s="21" t="n">
        <f aca="false">Inputs!$C$7*(MAX(Q24,0)-Q25)</f>
        <v>1319189.96553342</v>
      </c>
      <c r="R27" s="21" t="n">
        <f aca="false">Inputs!$C$7*(MAX(R24,0)-R25)</f>
        <v>904801.949221005</v>
      </c>
      <c r="S27" s="21" t="n">
        <f aca="false">Inputs!$C$7*(MAX(S24,0)-S25)</f>
        <v>1425315.14721895</v>
      </c>
      <c r="T27" s="21" t="n">
        <f aca="false">Inputs!$C$7*(MAX(T24,0)-T25)</f>
        <v>1459434.68658774</v>
      </c>
      <c r="U27" s="21" t="n">
        <f aca="false">Inputs!$C$7*(MAX(U24,0)-U25)</f>
        <v>1493899.82255843</v>
      </c>
      <c r="V27" s="21" t="n">
        <f aca="false">Inputs!$C$7*(MAX(V24,0)-V25)</f>
        <v>1528737.6747142</v>
      </c>
      <c r="W27" s="21" t="n">
        <f aca="false">Inputs!$C$7*(MAX(W24,0)-W25)</f>
        <v>1113442.87644251</v>
      </c>
      <c r="X27" s="21" t="n">
        <f aca="false">Inputs!$C$7*(MAX(X24,0)-X25)</f>
        <v>1575665.02206467</v>
      </c>
      <c r="Y27" s="21" t="n">
        <f aca="false">Inputs!$C$7*(MAX(Y24,0)-Y25)</f>
        <v>1613215.63472517</v>
      </c>
      <c r="Z27" s="21" t="n">
        <f aca="false">Inputs!$C$7*(MAX(Z24,0)-Z25)</f>
        <v>1651155.02090573</v>
      </c>
      <c r="AA27" s="21" t="n">
        <f aca="false">Inputs!$C$7*(MAX(AA24,0)-AA25)</f>
        <v>1689512.69040073</v>
      </c>
      <c r="AB27" s="21" t="n">
        <f aca="false">Inputs!$C$7*(MAX(AB24,0)-AB25)</f>
        <v>427660.248264599</v>
      </c>
      <c r="AC27" s="21" t="n">
        <f aca="false">Inputs!$C$7*(MAX(AC24,0)-AC25)</f>
        <v>1698392.63432487</v>
      </c>
      <c r="AD27" s="21" t="n">
        <f aca="false">Inputs!$C$7*(MAX(AD24,0)-AD25)</f>
        <v>1742327.67704035</v>
      </c>
      <c r="AE27" s="21" t="n">
        <f aca="false">Inputs!$C$7*(MAX(AE24,0)-AE25)</f>
        <v>1786543.3892084</v>
      </c>
      <c r="AF27" s="21" t="n">
        <f aca="false">Inputs!$C$7*(MAX(AF24,0)-AF25)</f>
        <v>1831081.26610218</v>
      </c>
      <c r="AG27" s="21" t="n">
        <f aca="false">Inputs!$C$7*(MAX(AG24,0)-AG25)</f>
        <v>2760464.43348555</v>
      </c>
    </row>
    <row r="28" customFormat="false" ht="15" hidden="false" customHeight="false" outlineLevel="0" collapsed="false">
      <c r="A28" s="13" t="s">
        <v>139</v>
      </c>
      <c r="C28" s="21" t="n">
        <f aca="false">Inputs!$C$23/12*D12</f>
        <v>1034453.16099939</v>
      </c>
      <c r="D28" s="21" t="n">
        <f aca="false">Inputs!$C$23/12*E12</f>
        <v>1067508.56977718</v>
      </c>
      <c r="E28" s="21" t="n">
        <f aca="false">Inputs!$C$23/12*F12</f>
        <v>1088858.74117273</v>
      </c>
      <c r="F28" s="21" t="n">
        <f aca="false">Inputs!$C$23/12*G12</f>
        <v>1110635.91599618</v>
      </c>
      <c r="G28" s="21" t="n">
        <f aca="false">Inputs!$C$23/12*H12</f>
        <v>1132848.63431611</v>
      </c>
      <c r="H28" s="21" t="n">
        <f aca="false">Inputs!$C$23/12*I12</f>
        <v>1155505.60700243</v>
      </c>
      <c r="I28" s="21" t="n">
        <f aca="false">Inputs!$C$23/12*J12</f>
        <v>1178615.71914248</v>
      </c>
      <c r="J28" s="21" t="n">
        <f aca="false">Inputs!$C$23/12*K12</f>
        <v>1202188.03352533</v>
      </c>
      <c r="K28" s="21" t="n">
        <f aca="false">Inputs!$C$23/12*L12</f>
        <v>1226231.79419583</v>
      </c>
      <c r="L28" s="21" t="n">
        <f aca="false">Inputs!$C$23/12*M12</f>
        <v>1250756.43007975</v>
      </c>
      <c r="M28" s="21" t="n">
        <f aca="false">Inputs!$C$23/12*N12</f>
        <v>1275771.55868134</v>
      </c>
      <c r="N28" s="21" t="n">
        <f aca="false">Inputs!$C$23/12*O12</f>
        <v>1301286.98985497</v>
      </c>
      <c r="O28" s="21" t="n">
        <f aca="false">Inputs!$C$23/12*P12</f>
        <v>1327312.72965207</v>
      </c>
      <c r="P28" s="21" t="n">
        <f aca="false">Inputs!$C$23/12*Q12</f>
        <v>1353858.98424511</v>
      </c>
      <c r="Q28" s="21" t="n">
        <f aca="false">Inputs!$C$23/12*R12</f>
        <v>1380936.16393001</v>
      </c>
      <c r="R28" s="21" t="n">
        <f aca="false">Inputs!$C$23/12*S12</f>
        <v>1408554.88720862</v>
      </c>
      <c r="S28" s="21" t="n">
        <f aca="false">Inputs!$C$23/12*T12</f>
        <v>1436725.98495279</v>
      </c>
      <c r="T28" s="21" t="n">
        <f aca="false">Inputs!$C$23/12*U12</f>
        <v>1465460.50465184</v>
      </c>
      <c r="U28" s="21" t="n">
        <f aca="false">Inputs!$C$23/12*V12</f>
        <v>1494769.71474488</v>
      </c>
      <c r="V28" s="21" t="n">
        <f aca="false">Inputs!$C$23/12*W12</f>
        <v>1524665.10903978</v>
      </c>
      <c r="W28" s="21" t="n">
        <f aca="false">Inputs!$C$23/12*X12</f>
        <v>1555158.41122057</v>
      </c>
      <c r="X28" s="21" t="n">
        <f aca="false">Inputs!$C$23/12*Y12</f>
        <v>1586261.57944499</v>
      </c>
      <c r="Y28" s="21" t="n">
        <f aca="false">Inputs!$C$23/12*Z12</f>
        <v>1617986.81103388</v>
      </c>
      <c r="Z28" s="21" t="n">
        <f aca="false">Inputs!$C$23/12*AA12</f>
        <v>1650346.54725456</v>
      </c>
      <c r="AA28" s="21" t="n">
        <f aca="false">Inputs!$C$23/12*AB12</f>
        <v>1683353.47819965</v>
      </c>
      <c r="AB28" s="21" t="n">
        <f aca="false">Inputs!$C$23/12*AC12</f>
        <v>1717020.54776365</v>
      </c>
      <c r="AC28" s="21" t="n">
        <f aca="false">Inputs!$C$23/12*AD12</f>
        <v>1751360.95871892</v>
      </c>
      <c r="AD28" s="21" t="n">
        <f aca="false">Inputs!$C$23/12*AE12</f>
        <v>1786388.1778933</v>
      </c>
      <c r="AE28" s="21" t="n">
        <f aca="false">Inputs!$C$23/12*AF12</f>
        <v>1822115.94145116</v>
      </c>
      <c r="AF28" s="21" t="n">
        <f aca="false">Inputs!$C$23/12*AG12</f>
        <v>1858558.26028019</v>
      </c>
      <c r="AG28" s="21" t="n">
        <v>0</v>
      </c>
    </row>
    <row r="29" customFormat="false" ht="15" hidden="false" customHeight="false" outlineLevel="0" collapsed="false">
      <c r="A29" s="13" t="s">
        <v>140</v>
      </c>
      <c r="C29" s="21" t="n">
        <f aca="false">C28-0</f>
        <v>1034453.16099939</v>
      </c>
      <c r="D29" s="21" t="n">
        <f aca="false">D28-C28</f>
        <v>33055.4087777914</v>
      </c>
      <c r="E29" s="21" t="n">
        <f aca="false">E28-D28</f>
        <v>21350.1713955437</v>
      </c>
      <c r="F29" s="21" t="n">
        <f aca="false">F28-E28</f>
        <v>21777.1748234544</v>
      </c>
      <c r="G29" s="21" t="n">
        <f aca="false">G28-F28</f>
        <v>22212.7183199239</v>
      </c>
      <c r="H29" s="21" t="n">
        <f aca="false">H28-G28</f>
        <v>22656.9726863222</v>
      </c>
      <c r="I29" s="21" t="n">
        <f aca="false">I28-H28</f>
        <v>23110.1121400485</v>
      </c>
      <c r="J29" s="21" t="n">
        <f aca="false">J28-I28</f>
        <v>23572.3143828495</v>
      </c>
      <c r="K29" s="21" t="n">
        <f aca="false">K28-J28</f>
        <v>24043.7606705066</v>
      </c>
      <c r="L29" s="21" t="n">
        <f aca="false">L28-K28</f>
        <v>24524.6358839166</v>
      </c>
      <c r="M29" s="21" t="n">
        <f aca="false">M28-L28</f>
        <v>25015.1286015951</v>
      </c>
      <c r="N29" s="21" t="n">
        <f aca="false">N28-M28</f>
        <v>25515.4311736268</v>
      </c>
      <c r="O29" s="21" t="n">
        <f aca="false">O28-N28</f>
        <v>26025.7397970995</v>
      </c>
      <c r="P29" s="21" t="n">
        <f aca="false">P28-O28</f>
        <v>26546.2545930415</v>
      </c>
      <c r="Q29" s="21" t="n">
        <f aca="false">Q28-P28</f>
        <v>27077.1796849023</v>
      </c>
      <c r="R29" s="21" t="n">
        <f aca="false">R28-Q28</f>
        <v>27618.7232786003</v>
      </c>
      <c r="S29" s="21" t="n">
        <f aca="false">S28-R28</f>
        <v>28171.0977441724</v>
      </c>
      <c r="T29" s="21" t="n">
        <f aca="false">T28-S28</f>
        <v>28734.5196990557</v>
      </c>
      <c r="U29" s="21" t="n">
        <f aca="false">U28-T28</f>
        <v>29309.210093037</v>
      </c>
      <c r="V29" s="21" t="n">
        <f aca="false">V28-U28</f>
        <v>29895.3942948978</v>
      </c>
      <c r="W29" s="21" t="n">
        <f aca="false">W28-V28</f>
        <v>30493.3021807952</v>
      </c>
      <c r="X29" s="21" t="n">
        <f aca="false">X28-W28</f>
        <v>31103.1682244118</v>
      </c>
      <c r="Y29" s="21" t="n">
        <f aca="false">Y28-X28</f>
        <v>31725.2315888996</v>
      </c>
      <c r="Z29" s="21" t="n">
        <f aca="false">Z28-Y28</f>
        <v>32359.7362206779</v>
      </c>
      <c r="AA29" s="21" t="n">
        <f aca="false">AA28-Z28</f>
        <v>33006.9309450912</v>
      </c>
      <c r="AB29" s="21" t="n">
        <f aca="false">AB28-AA28</f>
        <v>33667.069563993</v>
      </c>
      <c r="AC29" s="21" t="n">
        <f aca="false">AC28-AB28</f>
        <v>34340.4109552729</v>
      </c>
      <c r="AD29" s="21" t="n">
        <f aca="false">AD28-AC28</f>
        <v>35027.2191743786</v>
      </c>
      <c r="AE29" s="21" t="n">
        <f aca="false">AE28-AD28</f>
        <v>35727.763557866</v>
      </c>
      <c r="AF29" s="21" t="n">
        <f aca="false">AF28-AE28</f>
        <v>36442.3188290235</v>
      </c>
      <c r="AG29" s="21" t="n">
        <f aca="false">AG28-AF28</f>
        <v>-1858558.26028019</v>
      </c>
    </row>
    <row r="30" customFormat="false" ht="15" hidden="false" customHeight="false" outlineLevel="0" collapsed="false">
      <c r="A30" s="13" t="s">
        <v>141</v>
      </c>
      <c r="C30" s="21" t="n">
        <v>0</v>
      </c>
      <c r="D30" s="21" t="n">
        <f aca="false">NPV(Inputs!$C$25,$D$9:$AG$9)*Inputs!$C$25/(1-(1+Inputs!$C$25)^-30)*D4</f>
        <v>289337.134141244</v>
      </c>
      <c r="E30" s="21" t="n">
        <f aca="false">NPV(Inputs!$C$25,$D$9:$AG$9)*Inputs!$C$25/(1-(1+Inputs!$C$25)^-30)*E4</f>
        <v>295123.876824069</v>
      </c>
      <c r="F30" s="21" t="n">
        <f aca="false">NPV(Inputs!$C$25,$D$9:$AG$9)*Inputs!$C$25/(1-(1+Inputs!$C$25)^-30)*F4</f>
        <v>301026.35436055</v>
      </c>
      <c r="G30" s="21" t="n">
        <f aca="false">NPV(Inputs!$C$25,$D$9:$AG$9)*Inputs!$C$25/(1-(1+Inputs!$C$25)^-30)*G4</f>
        <v>307046.881447761</v>
      </c>
      <c r="H30" s="21" t="n">
        <f aca="false">NPV(Inputs!$C$25,$D$9:$AG$9)*Inputs!$C$25/(1-(1+Inputs!$C$25)^-30)*H4</f>
        <v>313187.819076716</v>
      </c>
      <c r="I30" s="21" t="n">
        <f aca="false">NPV(Inputs!$C$25,$D$9:$AG$9)*Inputs!$C$25/(1-(1+Inputs!$C$25)^-30)*I4</f>
        <v>319451.57545825</v>
      </c>
      <c r="J30" s="21" t="n">
        <f aca="false">NPV(Inputs!$C$25,$D$9:$AG$9)*Inputs!$C$25/(1-(1+Inputs!$C$25)^-30)*J4</f>
        <v>325840.606967415</v>
      </c>
      <c r="K30" s="21" t="n">
        <f aca="false">NPV(Inputs!$C$25,$D$9:$AG$9)*Inputs!$C$25/(1-(1+Inputs!$C$25)^-30)*K4</f>
        <v>332357.419106764</v>
      </c>
      <c r="L30" s="21" t="n">
        <f aca="false">NPV(Inputs!$C$25,$D$9:$AG$9)*Inputs!$C$25/(1-(1+Inputs!$C$25)^-30)*L4</f>
        <v>339004.567488899</v>
      </c>
      <c r="M30" s="21" t="n">
        <f aca="false">NPV(Inputs!$C$25,$D$9:$AG$9)*Inputs!$C$25/(1-(1+Inputs!$C$25)^-30)*M4</f>
        <v>345784.658838677</v>
      </c>
      <c r="N30" s="21" t="n">
        <f aca="false">NPV(Inputs!$C$25,$D$9:$AG$9)*Inputs!$C$25/(1-(1+Inputs!$C$25)^-30)*N4</f>
        <v>352700.352015451</v>
      </c>
      <c r="O30" s="21" t="n">
        <f aca="false">NPV(Inputs!$C$25,$D$9:$AG$9)*Inputs!$C$25/(1-(1+Inputs!$C$25)^-30)*O4</f>
        <v>359754.35905576</v>
      </c>
      <c r="P30" s="21" t="n">
        <f aca="false">NPV(Inputs!$C$25,$D$9:$AG$9)*Inputs!$C$25/(1-(1+Inputs!$C$25)^-30)*P4</f>
        <v>366949.446236875</v>
      </c>
      <c r="Q30" s="21" t="n">
        <f aca="false">NPV(Inputs!$C$25,$D$9:$AG$9)*Inputs!$C$25/(1-(1+Inputs!$C$25)^-30)*Q4</f>
        <v>374288.435161612</v>
      </c>
      <c r="R30" s="21" t="n">
        <f aca="false">NPV(Inputs!$C$25,$D$9:$AG$9)*Inputs!$C$25/(1-(1+Inputs!$C$25)^-30)*R4</f>
        <v>381774.203864845</v>
      </c>
      <c r="S30" s="21" t="n">
        <f aca="false">NPV(Inputs!$C$25,$D$9:$AG$9)*Inputs!$C$25/(1-(1+Inputs!$C$25)^-30)*S4</f>
        <v>389409.687942141</v>
      </c>
      <c r="T30" s="21" t="n">
        <f aca="false">NPV(Inputs!$C$25,$D$9:$AG$9)*Inputs!$C$25/(1-(1+Inputs!$C$25)^-30)*T4</f>
        <v>397197.881700984</v>
      </c>
      <c r="U30" s="21" t="n">
        <f aca="false">NPV(Inputs!$C$25,$D$9:$AG$9)*Inputs!$C$25/(1-(1+Inputs!$C$25)^-30)*U4</f>
        <v>405141.839335004</v>
      </c>
      <c r="V30" s="21" t="n">
        <f aca="false">NPV(Inputs!$C$25,$D$9:$AG$9)*Inputs!$C$25/(1-(1+Inputs!$C$25)^-30)*V4</f>
        <v>413244.676121704</v>
      </c>
      <c r="W30" s="21" t="n">
        <f aca="false">NPV(Inputs!$C$25,$D$9:$AG$9)*Inputs!$C$25/(1-(1+Inputs!$C$25)^-30)*W4</f>
        <v>421509.569644138</v>
      </c>
      <c r="X30" s="21" t="n">
        <f aca="false">NPV(Inputs!$C$25,$D$9:$AG$9)*Inputs!$C$25/(1-(1+Inputs!$C$25)^-30)*X4</f>
        <v>429939.761037021</v>
      </c>
      <c r="Y30" s="21" t="n">
        <f aca="false">NPV(Inputs!$C$25,$D$9:$AG$9)*Inputs!$C$25/(1-(1+Inputs!$C$25)^-30)*Y4</f>
        <v>438538.556257761</v>
      </c>
      <c r="Z30" s="21" t="n">
        <f aca="false">NPV(Inputs!$C$25,$D$9:$AG$9)*Inputs!$C$25/(1-(1+Inputs!$C$25)^-30)*Z4</f>
        <v>447309.327382917</v>
      </c>
      <c r="AA30" s="21" t="n">
        <f aca="false">NPV(Inputs!$C$25,$D$9:$AG$9)*Inputs!$C$25/(1-(1+Inputs!$C$25)^-30)*AA4</f>
        <v>456255.513930575</v>
      </c>
      <c r="AB30" s="21" t="n">
        <f aca="false">NPV(Inputs!$C$25,$D$9:$AG$9)*Inputs!$C$25/(1-(1+Inputs!$C$25)^-30)*AB4</f>
        <v>465380.624209186</v>
      </c>
      <c r="AC30" s="21" t="n">
        <f aca="false">NPV(Inputs!$C$25,$D$9:$AG$9)*Inputs!$C$25/(1-(1+Inputs!$C$25)^-30)*AC4</f>
        <v>474688.23669337</v>
      </c>
      <c r="AD30" s="21" t="n">
        <f aca="false">NPV(Inputs!$C$25,$D$9:$AG$9)*Inputs!$C$25/(1-(1+Inputs!$C$25)^-30)*AD4</f>
        <v>484182.001427238</v>
      </c>
      <c r="AE30" s="21" t="n">
        <f aca="false">NPV(Inputs!$C$25,$D$9:$AG$9)*Inputs!$C$25/(1-(1+Inputs!$C$25)^-30)*AE4</f>
        <v>493865.641455782</v>
      </c>
      <c r="AF30" s="21" t="n">
        <f aca="false">NPV(Inputs!$C$25,$D$9:$AG$9)*Inputs!$C$25/(1-(1+Inputs!$C$25)^-30)*AF4</f>
        <v>503742.954284898</v>
      </c>
      <c r="AG30" s="21" t="n">
        <f aca="false">NPV(Inputs!$C$25,$D$9:$AG$9)*Inputs!$C$25/(1-(1+Inputs!$C$25)^-30)*AG4</f>
        <v>513817.813370596</v>
      </c>
    </row>
    <row r="31" customFormat="false" ht="15" hidden="false" customHeight="false" outlineLevel="0" collapsed="false">
      <c r="A31" s="3" t="s">
        <v>142</v>
      </c>
      <c r="C31" s="21" t="n">
        <v>0</v>
      </c>
      <c r="D31" s="21" t="n">
        <f aca="false">D11-D27-D30-D29</f>
        <v>2050183.40269235</v>
      </c>
      <c r="E31" s="21" t="n">
        <f aca="false">E11-E27-E30-E29</f>
        <v>4217075.54541716</v>
      </c>
      <c r="F31" s="21" t="n">
        <f aca="false">F11-F27-F30-F29</f>
        <v>4301417.0563255</v>
      </c>
      <c r="G31" s="21" t="n">
        <f aca="false">G11-G27-G30-G29</f>
        <v>4387445.39745201</v>
      </c>
      <c r="H31" s="21" t="n">
        <f aca="false">H11-H27-H30-H29</f>
        <v>4475194.30540105</v>
      </c>
      <c r="I31" s="21" t="n">
        <f aca="false">I11-I27-I30-I29</f>
        <v>4564698.19150907</v>
      </c>
      <c r="J31" s="21" t="n">
        <f aca="false">J11-J27-J30-J29</f>
        <v>4286620.43133953</v>
      </c>
      <c r="K31" s="21" t="n">
        <f aca="false">K11-K27-K30-K29</f>
        <v>3767564.22423441</v>
      </c>
      <c r="L31" s="21" t="n">
        <f aca="false">L11-L27-L30-L29</f>
        <v>3808652.74612294</v>
      </c>
      <c r="M31" s="21" t="n">
        <f aca="false">M11-M27-M30-M29</f>
        <v>4046735.14476337</v>
      </c>
      <c r="N31" s="21" t="n">
        <f aca="false">N11-N27-N30-N29</f>
        <v>3898807.43889252</v>
      </c>
      <c r="O31" s="21" t="n">
        <f aca="false">O11-O27-O30-O29</f>
        <v>3937071.03484022</v>
      </c>
      <c r="P31" s="21" t="n">
        <f aca="false">P11-P27-P30-P29</f>
        <v>3983176.50520325</v>
      </c>
      <c r="Q31" s="21" t="n">
        <f aca="false">Q11-Q27-Q30-Q29</f>
        <v>4029081.49199226</v>
      </c>
      <c r="R31" s="21" t="n">
        <f aca="false">R11-R27-R30-R29</f>
        <v>4550434.93745519</v>
      </c>
      <c r="S31" s="21" t="n">
        <f aca="false">S11-S27-S30-S29</f>
        <v>4139026.47719077</v>
      </c>
      <c r="T31" s="21" t="n">
        <f aca="false">T11-T27-T30-T29</f>
        <v>4216193.77031018</v>
      </c>
      <c r="U31" s="21" t="n">
        <f aca="false">U11-U27-U30-U29</f>
        <v>4295241.20347744</v>
      </c>
      <c r="V31" s="21" t="n">
        <f aca="false">V11-V27-V30-V29</f>
        <v>4376186.17184239</v>
      </c>
      <c r="W31" s="21" t="n">
        <f aca="false">W11-W27-W30-W29</f>
        <v>4909579.44704522</v>
      </c>
      <c r="X31" s="21" t="n">
        <f aca="false">X11-X27-X30-X29</f>
        <v>4567817.74789281</v>
      </c>
      <c r="Y31" s="21" t="n">
        <f aca="false">Y11-Y27-Y30-Y29</f>
        <v>4653136.79063146</v>
      </c>
      <c r="Z31" s="21" t="n">
        <f aca="false">Z11-Z27-Z30-Z29</f>
        <v>4740524.45295804</v>
      </c>
      <c r="AA31" s="21" t="n">
        <f aca="false">AA11-AA27-AA30-AA29</f>
        <v>4830000.37294031</v>
      </c>
      <c r="AB31" s="21" t="n">
        <f aca="false">AB11-AB27-AB30-AB29</f>
        <v>6222243.07634326</v>
      </c>
      <c r="AC31" s="21" t="n">
        <f aca="false">AC11-AC27-AC30-AC29</f>
        <v>5084508.75677515</v>
      </c>
      <c r="AD31" s="21" t="n">
        <f aca="false">AD11-AD27-AD30-AD29</f>
        <v>5176231.74188167</v>
      </c>
      <c r="AE31" s="21" t="n">
        <f aca="false">AE11-AE27-AE30-AE29</f>
        <v>5270387.21809205</v>
      </c>
      <c r="AF31" s="21" t="n">
        <f aca="false">AF11-AF27-AF30-AF29</f>
        <v>5366987.95334429</v>
      </c>
      <c r="AG31" s="21" t="n">
        <f aca="false">AG11-AG27-AG30-AG29</f>
        <v>6477295.59583563</v>
      </c>
    </row>
    <row r="32" customFormat="false" ht="15" hidden="false" customHeight="false" outlineLevel="0" collapsed="false">
      <c r="A32" s="3" t="s">
        <v>143</v>
      </c>
      <c r="C32" s="20"/>
      <c r="D32" s="20" t="str">
        <f aca="false">IF(D23&gt;0,D31/D23,"")</f>
        <v/>
      </c>
      <c r="E32" s="20" t="n">
        <f aca="false">IF(E23&gt;0,E31/E23,"")</f>
        <v>1.93336611047979</v>
      </c>
      <c r="F32" s="20" t="n">
        <f aca="false">IF(F23&gt;0,F31/F23,"")</f>
        <v>1.93336611047979</v>
      </c>
      <c r="G32" s="20" t="n">
        <f aca="false">IF(G23&gt;0,G31/G23,"")</f>
        <v>1.93336611047979</v>
      </c>
      <c r="H32" s="20" t="n">
        <f aca="false">IF(H23&gt;0,H31/H23,"")</f>
        <v>1.93336611047979</v>
      </c>
      <c r="I32" s="20" t="n">
        <f aca="false">IF(I23&gt;0,I31/I23,"")</f>
        <v>1.93336611047979</v>
      </c>
      <c r="J32" s="20" t="n">
        <f aca="false">IF(J23&gt;0,J31/J23,"")</f>
        <v>1.7799872495357</v>
      </c>
      <c r="K32" s="20" t="n">
        <f aca="false">IF(K23&gt;0,K31/K23,"")</f>
        <v>1.53377747094074</v>
      </c>
      <c r="L32" s="20" t="n">
        <f aca="false">IF(L23&gt;0,L31/L23,"")</f>
        <v>1.52010257924902</v>
      </c>
      <c r="M32" s="20" t="n">
        <f aca="false">IF(M23&gt;0,M31/M23,"")</f>
        <v>1.5834564652647</v>
      </c>
      <c r="N32" s="20" t="n">
        <f aca="false">IF(N23&gt;0,N31/N23,"")</f>
        <v>1.51999751347215</v>
      </c>
      <c r="O32" s="20" t="n">
        <f aca="false">IF(O23&gt;0,O31/O23,"")</f>
        <v>1.91158485284392</v>
      </c>
      <c r="P32" s="20" t="n">
        <f aca="false">IF(P23&gt;0,P31/P23,"")</f>
        <v>1.91991060045592</v>
      </c>
      <c r="Q32" s="20" t="n">
        <f aca="false">IF(Q23&gt;0,Q31/Q23,"")</f>
        <v>1.92857064306505</v>
      </c>
      <c r="R32" s="20" t="n">
        <f aca="false">IF(R23&gt;0,R31/R23,"")</f>
        <v>1.83222654145086</v>
      </c>
      <c r="S32" s="20" t="str">
        <f aca="false">IF(S23&gt;0,S31/S23,"")</f>
        <v/>
      </c>
      <c r="T32" s="20" t="str">
        <f aca="false">IF(T23&gt;0,T31/T23,"")</f>
        <v/>
      </c>
      <c r="U32" s="20" t="str">
        <f aca="false">IF(U23&gt;0,U31/U23,"")</f>
        <v/>
      </c>
      <c r="V32" s="20" t="str">
        <f aca="false">IF(V23&gt;0,V31/V23,"")</f>
        <v/>
      </c>
      <c r="W32" s="20" t="str">
        <f aca="false">IF(W23&gt;0,W31/W23,"")</f>
        <v/>
      </c>
      <c r="X32" s="20" t="str">
        <f aca="false">IF(X23&gt;0,X31/X23,"")</f>
        <v/>
      </c>
      <c r="Y32" s="20" t="str">
        <f aca="false">IF(Y23&gt;0,Y31/Y23,"")</f>
        <v/>
      </c>
      <c r="Z32" s="20" t="str">
        <f aca="false">IF(Z23&gt;0,Z31/Z23,"")</f>
        <v/>
      </c>
      <c r="AA32" s="20" t="str">
        <f aca="false">IF(AA23&gt;0,AA31/AA23,"")</f>
        <v/>
      </c>
      <c r="AB32" s="20" t="str">
        <f aca="false">IF(AB23&gt;0,AB31/AB23,"")</f>
        <v/>
      </c>
      <c r="AC32" s="20" t="str">
        <f aca="false">IF(AC23&gt;0,AC31/AC23,"")</f>
        <v/>
      </c>
      <c r="AD32" s="20" t="str">
        <f aca="false">IF(AD23&gt;0,AD31/AD23,"")</f>
        <v/>
      </c>
      <c r="AE32" s="20" t="str">
        <f aca="false">IF(AE23&gt;0,AE31/AE23,"")</f>
        <v/>
      </c>
      <c r="AF32" s="20" t="str">
        <f aca="false">IF(AF23&gt;0,AF31/AF23,"")</f>
        <v/>
      </c>
      <c r="AG32" s="20" t="str">
        <f aca="false">IF(AG23&gt;0,AG31/AG23,"")</f>
        <v/>
      </c>
    </row>
    <row r="33" customFormat="false" ht="15" hidden="false" customHeight="false" outlineLevel="0" collapsed="false">
      <c r="A33" s="13" t="s">
        <v>144</v>
      </c>
      <c r="C33" s="21" t="n">
        <f aca="false">Inputs!$C$24/12*MAX(D23,E23)</f>
        <v>1090604.49610618</v>
      </c>
      <c r="D33" s="21" t="n">
        <f aca="false">Inputs!$C$24/12*E23</f>
        <v>1090604.49610618</v>
      </c>
      <c r="E33" s="21" t="n">
        <f aca="false">Inputs!$C$24/12*F23</f>
        <v>1112416.5860283</v>
      </c>
      <c r="F33" s="21" t="n">
        <f aca="false">Inputs!$C$24/12*G23</f>
        <v>1134664.91774887</v>
      </c>
      <c r="G33" s="21" t="n">
        <f aca="false">Inputs!$C$24/12*H23</f>
        <v>1157358.21610385</v>
      </c>
      <c r="H33" s="21" t="n">
        <f aca="false">Inputs!$C$24/12*I23</f>
        <v>1180505.38042592</v>
      </c>
      <c r="I33" s="21" t="n">
        <f aca="false">Inputs!$C$24/12*J23</f>
        <v>1204115.48803444</v>
      </c>
      <c r="J33" s="21" t="n">
        <f aca="false">Inputs!$C$24/12*K23</f>
        <v>1228197.79779513</v>
      </c>
      <c r="K33" s="21" t="n">
        <f aca="false">Inputs!$C$24/12*L23</f>
        <v>1252761.75375103</v>
      </c>
      <c r="L33" s="21" t="n">
        <f aca="false">Inputs!$C$24/12*M23</f>
        <v>1277816.98882605</v>
      </c>
      <c r="M33" s="21" t="n">
        <f aca="false">Inputs!$C$24/12*N23</f>
        <v>1282504.54501943</v>
      </c>
      <c r="N33" s="21" t="n">
        <f aca="false">Inputs!$C$24/12*O23</f>
        <v>1029792.38117077</v>
      </c>
      <c r="O33" s="21" t="n">
        <f aca="false">Inputs!$C$24/12*P23</f>
        <v>1037333.84884103</v>
      </c>
      <c r="P33" s="21" t="n">
        <f aca="false">Inputs!$C$24/12*Q23</f>
        <v>1044577.10856495</v>
      </c>
      <c r="Q33" s="21" t="n">
        <f aca="false">Inputs!$C$24/12*R23</f>
        <v>1241777.37700817</v>
      </c>
      <c r="R33" s="21" t="n">
        <f aca="false">Inputs!$C$24/12*S23</f>
        <v>0</v>
      </c>
      <c r="S33" s="21" t="n">
        <f aca="false">Inputs!$C$24/12*T23</f>
        <v>0</v>
      </c>
      <c r="T33" s="21" t="n">
        <f aca="false">Inputs!$C$24/12*U23</f>
        <v>0</v>
      </c>
      <c r="U33" s="21" t="n">
        <f aca="false">Inputs!$C$24/12*V23</f>
        <v>0</v>
      </c>
      <c r="V33" s="21" t="n">
        <f aca="false">Inputs!$C$24/12*W23</f>
        <v>0</v>
      </c>
      <c r="W33" s="21" t="n">
        <f aca="false">Inputs!$C$24/12*X23</f>
        <v>0</v>
      </c>
      <c r="X33" s="21" t="n">
        <f aca="false">Inputs!$C$24/12*Y23</f>
        <v>0</v>
      </c>
      <c r="Y33" s="21" t="n">
        <f aca="false">Inputs!$C$24/12*Z23</f>
        <v>0</v>
      </c>
      <c r="Z33" s="21" t="n">
        <f aca="false">Inputs!$C$24/12*AA23</f>
        <v>0</v>
      </c>
      <c r="AA33" s="21" t="n">
        <f aca="false">Inputs!$C$24/12*AB23</f>
        <v>0</v>
      </c>
      <c r="AB33" s="21" t="n">
        <f aca="false">Inputs!$C$24/12*AC23</f>
        <v>0</v>
      </c>
      <c r="AC33" s="21" t="n">
        <f aca="false">Inputs!$C$24/12*AD23</f>
        <v>0</v>
      </c>
      <c r="AD33" s="21" t="n">
        <f aca="false">Inputs!$C$24/12*AE23</f>
        <v>0</v>
      </c>
      <c r="AE33" s="21" t="n">
        <f aca="false">Inputs!$C$24/12*AF23</f>
        <v>0</v>
      </c>
      <c r="AF33" s="21" t="n">
        <f aca="false">Inputs!$C$24/12*AG23</f>
        <v>0</v>
      </c>
      <c r="AG33" s="21" t="n">
        <v>0</v>
      </c>
    </row>
    <row r="34" customFormat="false" ht="15" hidden="false" customHeight="false" outlineLevel="0" collapsed="false">
      <c r="A34" s="13" t="s">
        <v>145</v>
      </c>
      <c r="C34" s="21" t="n">
        <f aca="false">C33-0</f>
        <v>1090604.49610618</v>
      </c>
      <c r="D34" s="21" t="n">
        <f aca="false">D33-C33</f>
        <v>0</v>
      </c>
      <c r="E34" s="21" t="n">
        <f aca="false">E33-D33</f>
        <v>21812.0899221245</v>
      </c>
      <c r="F34" s="21" t="n">
        <f aca="false">F33-E33</f>
        <v>22248.3317205654</v>
      </c>
      <c r="G34" s="21" t="n">
        <f aca="false">G33-F33</f>
        <v>22693.2983549775</v>
      </c>
      <c r="H34" s="21" t="n">
        <f aca="false">H33-G33</f>
        <v>23147.1643220766</v>
      </c>
      <c r="I34" s="21" t="n">
        <f aca="false">I33-H33</f>
        <v>23610.1076085186</v>
      </c>
      <c r="J34" s="21" t="n">
        <f aca="false">J33-I33</f>
        <v>24082.3097606888</v>
      </c>
      <c r="K34" s="21" t="n">
        <f aca="false">K33-J33</f>
        <v>24563.9559559026</v>
      </c>
      <c r="L34" s="21" t="n">
        <f aca="false">L33-K33</f>
        <v>25055.2350750209</v>
      </c>
      <c r="M34" s="21" t="n">
        <f aca="false">M33-L33</f>
        <v>4687.55619337107</v>
      </c>
      <c r="N34" s="21" t="n">
        <f aca="false">N33-M33</f>
        <v>-252712.16384866</v>
      </c>
      <c r="O34" s="21" t="n">
        <f aca="false">O33-N33</f>
        <v>7541.46767026105</v>
      </c>
      <c r="P34" s="21" t="n">
        <f aca="false">P33-O33</f>
        <v>7243.25972391851</v>
      </c>
      <c r="Q34" s="21" t="n">
        <f aca="false">Q33-P33</f>
        <v>197200.268443225</v>
      </c>
      <c r="R34" s="21" t="n">
        <f aca="false">R33-Q33</f>
        <v>-1241777.37700817</v>
      </c>
      <c r="S34" s="21" t="n">
        <f aca="false">S33-R33</f>
        <v>0</v>
      </c>
      <c r="T34" s="21" t="n">
        <f aca="false">T33-S33</f>
        <v>0</v>
      </c>
      <c r="U34" s="21" t="n">
        <f aca="false">U33-T33</f>
        <v>0</v>
      </c>
      <c r="V34" s="21" t="n">
        <f aca="false">V33-U33</f>
        <v>0</v>
      </c>
      <c r="W34" s="21" t="n">
        <f aca="false">W33-V33</f>
        <v>0</v>
      </c>
      <c r="X34" s="21" t="n">
        <f aca="false">X33-W33</f>
        <v>0</v>
      </c>
      <c r="Y34" s="21" t="n">
        <f aca="false">Y33-X33</f>
        <v>0</v>
      </c>
      <c r="Z34" s="21" t="n">
        <f aca="false">Z33-Y33</f>
        <v>0</v>
      </c>
      <c r="AA34" s="21" t="n">
        <f aca="false">AA33-Z33</f>
        <v>0</v>
      </c>
      <c r="AB34" s="21" t="n">
        <f aca="false">AB33-AA33</f>
        <v>0</v>
      </c>
      <c r="AC34" s="21" t="n">
        <f aca="false">AC33-AB33</f>
        <v>0</v>
      </c>
      <c r="AD34" s="21" t="n">
        <f aca="false">AD33-AC33</f>
        <v>0</v>
      </c>
      <c r="AE34" s="21" t="n">
        <f aca="false">AE33-AD33</f>
        <v>0</v>
      </c>
      <c r="AF34" s="21" t="n">
        <f aca="false">AF33-AE33</f>
        <v>0</v>
      </c>
      <c r="AG34" s="21" t="n">
        <f aca="false">AG33-AF33</f>
        <v>0</v>
      </c>
    </row>
    <row r="35" customFormat="false" ht="15" hidden="false" customHeight="false" outlineLevel="0" collapsed="false">
      <c r="A35" s="3" t="s">
        <v>146</v>
      </c>
      <c r="C35" s="21" t="n">
        <f aca="false">-(SUM(Inputs!$C$30:$C$46)*Inputs!$C$11-C20-Inputs!$C$20)-C29-C34-C20*Inputs!$C$19</f>
        <v>-11426285.7506133</v>
      </c>
      <c r="D35" s="21" t="n">
        <f aca="false">D11-D13-D27-D23-D29-D34+D14</f>
        <v>2339520.5368336</v>
      </c>
      <c r="E35" s="21" t="n">
        <f aca="false">E11-E13-E27-E23-E29-E34+E14</f>
        <v>2309178.34010674</v>
      </c>
      <c r="F35" s="21" t="n">
        <f aca="false">F11-F13-F27-F23-F29-F34+F14</f>
        <v>2355361.90690888</v>
      </c>
      <c r="G35" s="21" t="n">
        <f aca="false">G11-G13-G27-G23-G29-G34+G14</f>
        <v>2402469.14504706</v>
      </c>
      <c r="H35" s="21" t="n">
        <f aca="false">H11-H13-H27-H23-H29-H34+H14</f>
        <v>2450518.527948</v>
      </c>
      <c r="I35" s="21" t="n">
        <f aca="false">I11-I13-I27-I23-I29-I34+I14</f>
        <v>2499528.89850696</v>
      </c>
      <c r="J35" s="21" t="n">
        <f aca="false">J11-J13-J27-J23-J29-J34+J14</f>
        <v>2180147.75247737</v>
      </c>
      <c r="K35" s="21" t="n">
        <f aca="false">K11-K13-K27-K23-K29-K34+K14</f>
        <v>1618962.09179501</v>
      </c>
      <c r="L35" s="21" t="n">
        <f aca="false">L11-L13-L27-L23-L29-L34+L14</f>
        <v>1617078.57103475</v>
      </c>
      <c r="M35" s="21" t="n">
        <f aca="false">M11-M13-M27-M23-M29-M34+M14</f>
        <v>339442.878992704</v>
      </c>
      <c r="N35" s="21" t="n">
        <f aca="false">N11-N13-N27-N23-N29-N34+N14</f>
        <v>1939210.86471778</v>
      </c>
      <c r="O35" s="21" t="n">
        <f aca="false">O11-O13-O27-O23-O29-O34+O14</f>
        <v>2229699.16388419</v>
      </c>
      <c r="P35" s="21" t="n">
        <f aca="false">P11-P13-P27-P23-P29-P34+P14</f>
        <v>2268214.99403415</v>
      </c>
      <c r="Q35" s="21" t="n">
        <f aca="false">Q11-Q13-Q27-Q23-Q29-Q34+Q14</f>
        <v>2117015.44158076</v>
      </c>
      <c r="R35" s="21" t="n">
        <f aca="false">R11-R13-R27-R23-R29-R34+R14</f>
        <v>99897.4598781236</v>
      </c>
      <c r="S35" s="21" t="n">
        <f aca="false">S11-S13-S27-S23-S29-S34+S14</f>
        <v>4528436.16513291</v>
      </c>
      <c r="T35" s="21" t="n">
        <f aca="false">T11-T13-T27-T23-T29-T34+T14</f>
        <v>4613391.65201116</v>
      </c>
      <c r="U35" s="21" t="n">
        <f aca="false">U11-U13-U27-U23-U29-U34+U14</f>
        <v>4700383.04281245</v>
      </c>
      <c r="V35" s="21" t="n">
        <f aca="false">V11-V13-V27-V23-V29-V34+V14</f>
        <v>4789430.84796409</v>
      </c>
      <c r="W35" s="21" t="n">
        <f aca="false">W11-W13-W27-W23-W29-W34+W14</f>
        <v>1930848.89496629</v>
      </c>
      <c r="X35" s="21" t="n">
        <f aca="false">X11-X13-X27-X23-X29-X34+X14</f>
        <v>4997757.50892983</v>
      </c>
      <c r="Y35" s="21" t="n">
        <f aca="false">Y11-Y13-Y27-Y23-Y29-Y34+Y14</f>
        <v>5091675.34688922</v>
      </c>
      <c r="Z35" s="21" t="n">
        <f aca="false">Z11-Z13-Z27-Z23-Z29-Z34+Z14</f>
        <v>5187833.78034095</v>
      </c>
      <c r="AA35" s="21" t="n">
        <f aca="false">AA11-AA13-AA27-AA23-AA29-AA34+AA14</f>
        <v>5286255.88687088</v>
      </c>
      <c r="AB35" s="21" t="n">
        <f aca="false">AB11-AB13-AB27-AB23-AB29-AB34+AB14</f>
        <v>-3128656.98530733</v>
      </c>
      <c r="AC35" s="21" t="n">
        <f aca="false">AC11-AC13-AC27-AC23-AC29-AC34+AC14</f>
        <v>5559196.99346852</v>
      </c>
      <c r="AD35" s="21" t="n">
        <f aca="false">AD11-AD13-AD27-AD23-AD29-AD34+AD14</f>
        <v>5660413.7433089</v>
      </c>
      <c r="AE35" s="21" t="n">
        <f aca="false">AE11-AE13-AE27-AE23-AE29-AE34+AE14</f>
        <v>5764252.85954784</v>
      </c>
      <c r="AF35" s="21" t="n">
        <f aca="false">AF11-AF13-AF27-AF23-AF29-AF34+AF14</f>
        <v>5870730.90762918</v>
      </c>
      <c r="AG35" s="21" t="n">
        <f aca="false">AG11-AG13-AG27-AG23-AG29-AG34+AG14</f>
        <v>16624845.935113</v>
      </c>
    </row>
    <row r="36" customFormat="false" ht="15" hidden="false" customHeight="false" outlineLevel="0" collapsed="false">
      <c r="A36" s="13" t="s">
        <v>147</v>
      </c>
      <c r="C36" s="21" t="n">
        <f aca="false">0+C35</f>
        <v>-11426285.7506133</v>
      </c>
      <c r="D36" s="21" t="n">
        <f aca="false">C36+D35</f>
        <v>-9086765.21377971</v>
      </c>
      <c r="E36" s="21" t="n">
        <f aca="false">D36+E35</f>
        <v>-6777586.87367297</v>
      </c>
      <c r="F36" s="21" t="n">
        <f aca="false">E36+F35</f>
        <v>-4422224.96676409</v>
      </c>
      <c r="G36" s="21" t="n">
        <f aca="false">F36+G35</f>
        <v>-2019755.82171703</v>
      </c>
      <c r="H36" s="21" t="n">
        <f aca="false">G36+H35</f>
        <v>430762.706230971</v>
      </c>
      <c r="I36" s="21" t="n">
        <f aca="false">H36+I35</f>
        <v>2930291.60473793</v>
      </c>
      <c r="J36" s="21" t="n">
        <f aca="false">I36+J35</f>
        <v>5110439.3572153</v>
      </c>
      <c r="K36" s="21" t="n">
        <f aca="false">J36+K35</f>
        <v>6729401.44901031</v>
      </c>
      <c r="L36" s="21" t="n">
        <f aca="false">K36+L35</f>
        <v>8346480.02004506</v>
      </c>
      <c r="M36" s="21" t="n">
        <f aca="false">L36+M35</f>
        <v>8685922.89903776</v>
      </c>
      <c r="N36" s="21" t="n">
        <f aca="false">M36+N35</f>
        <v>10625133.7637555</v>
      </c>
      <c r="O36" s="21" t="n">
        <f aca="false">N36+O35</f>
        <v>12854832.9276397</v>
      </c>
      <c r="P36" s="21" t="n">
        <f aca="false">O36+P35</f>
        <v>15123047.9216739</v>
      </c>
      <c r="Q36" s="21" t="n">
        <f aca="false">P36+Q35</f>
        <v>17240063.3632546</v>
      </c>
      <c r="R36" s="21" t="n">
        <f aca="false">Q36+R35</f>
        <v>17339960.8231328</v>
      </c>
      <c r="S36" s="21" t="n">
        <f aca="false">R36+S35</f>
        <v>21868396.9882657</v>
      </c>
      <c r="T36" s="21" t="n">
        <f aca="false">S36+T35</f>
        <v>26481788.6402768</v>
      </c>
      <c r="U36" s="21" t="n">
        <f aca="false">T36+U35</f>
        <v>31182171.6830893</v>
      </c>
      <c r="V36" s="21" t="n">
        <f aca="false">U36+V35</f>
        <v>35971602.5310534</v>
      </c>
      <c r="W36" s="21" t="n">
        <f aca="false">V36+W35</f>
        <v>37902451.4260197</v>
      </c>
      <c r="X36" s="21" t="n">
        <f aca="false">W36+X35</f>
        <v>42900208.9349495</v>
      </c>
      <c r="Y36" s="21" t="n">
        <f aca="false">X36+Y35</f>
        <v>47991884.2818387</v>
      </c>
      <c r="Z36" s="21" t="n">
        <f aca="false">Y36+Z35</f>
        <v>53179718.0621797</v>
      </c>
      <c r="AA36" s="21" t="n">
        <f aca="false">Z36+AA35</f>
        <v>58465973.9490506</v>
      </c>
      <c r="AB36" s="21" t="n">
        <f aca="false">AA36+AB35</f>
        <v>55337316.9637432</v>
      </c>
      <c r="AC36" s="21" t="n">
        <f aca="false">AB36+AC35</f>
        <v>60896513.9572117</v>
      </c>
      <c r="AD36" s="21" t="n">
        <f aca="false">AC36+AD35</f>
        <v>66556927.7005206</v>
      </c>
      <c r="AE36" s="21" t="n">
        <f aca="false">AD36+AE35</f>
        <v>72321180.5600685</v>
      </c>
      <c r="AF36" s="21" t="n">
        <f aca="false">AE36+AF35</f>
        <v>78191911.4676977</v>
      </c>
      <c r="AG36" s="21" t="n">
        <f aca="false">AF36+AG35</f>
        <v>94816757.4028107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2026-10-07T14:50:13Z</dcterms:created>
  <dc:creator>openpyxl</dc:creator>
  <dc:description/>
  <dc:language>en-US</dc:language>
  <cp:lastModifiedBy/>
  <dcterms:modified xsi:type="dcterms:W3CDTF">2026-10-07T14:50:13Z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