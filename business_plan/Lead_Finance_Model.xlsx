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lts" sheetId="1" state="visible" r:id="rId3"/>
    <sheet name="Inputs" sheetId="2" state="visible" r:id="rId4"/>
    <sheet name="Cashflo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<sst xmlns="http://schemas.openxmlformats.org/spreadsheetml/2006/main" count="205" uniqueCount="157">
  <si>
    <t xml:space="preserve">Lead finance model: results</t>
  </si>
  <si>
    <t xml:space="preserve">Supplier credit (ECA) + plant asset finance, 1-yr holiday, DSRA (finance.py central scheme). Change blue cells on Inputs.</t>
  </si>
  <si>
    <t xml:space="preserve">Output</t>
  </si>
  <si>
    <t xml:space="preserve">Workbook</t>
  </si>
  <si>
    <t xml:space="preserve">finance.py (default inputs)</t>
  </si>
  <si>
    <t xml:space="preserve">Capex (GBP)</t>
  </si>
  <si>
    <t xml:space="preserve">Debt drawn (GBP)</t>
  </si>
  <si>
    <t xml:space="preserve">Equity at close (GBP)</t>
  </si>
  <si>
    <t xml:space="preserve">Project IRR, real pre-tax</t>
  </si>
  <si>
    <t xml:space="preserve">Equity IRR, nominal post-tax</t>
  </si>
  <si>
    <t xml:space="preserve">Equity IRR, real</t>
  </si>
  <si>
    <t xml:space="preserve">DSCR year 1</t>
  </si>
  <si>
    <t xml:space="preserve">Minimum DSCR</t>
  </si>
  <si>
    <t xml:space="preserve">Tax paid over 30 yr (GBP)</t>
  </si>
  <si>
    <t xml:space="preserve">Equity NPV at the hurdle (GBP)</t>
  </si>
  <si>
    <t xml:space="preserve">Lender test met (min DSCR &gt;= target)</t>
  </si>
  <si>
    <t xml:space="preserve">Minimum real price for DSCR 1.25 (finance.py solver): flex Inputs!price until 'Lender test met' turns yes.</t>
  </si>
  <si>
    <t xml:space="preserve">Minimum price (GBP/kg)</t>
  </si>
  <si>
    <t xml:space="preserve">Lead finance model: inputs (blue = input)</t>
  </si>
  <si>
    <t xml:space="preserve">Lit lead 2.9 ha, 150 umol, 2 PPA turbines, Stranraer; physics from lit_open.json; terms and tiers in finance.py</t>
  </si>
  <si>
    <t xml:space="preserve">Contract price, real (year-0 GBP/kg)</t>
  </si>
  <si>
    <t xml:space="preserve">default = import parity 1.555 x 0.90; CPI-indexed</t>
  </si>
  <si>
    <t xml:space="preserve">Import parity (GBP/kg)</t>
  </si>
  <si>
    <t xml:space="preserve">monthly CIF + GBP 0.162 haul, weighted by own harvest</t>
  </si>
  <si>
    <t xml:space="preserve">CPI</t>
  </si>
  <si>
    <t xml:space="preserve">Bank of England target</t>
  </si>
  <si>
    <t xml:space="preserve">Corporation tax</t>
  </si>
  <si>
    <t xml:space="preserve">main rate</t>
  </si>
  <si>
    <t xml:space="preserve">Output at full yield (kg/yr)</t>
  </si>
  <si>
    <t xml:space="preserve">model, before stresses</t>
  </si>
  <si>
    <t xml:space="preserve">Year-1 output share</t>
  </si>
  <si>
    <t xml:space="preserve">first-crop establishment</t>
  </si>
  <si>
    <t xml:space="preserve">Stress: yield x</t>
  </si>
  <si>
    <t xml:space="preserve">Stress: capex x (incl. replacements)</t>
  </si>
  <si>
    <t xml:space="preserve">Stress: power cost x</t>
  </si>
  <si>
    <t xml:space="preserve">CO2 price (GBP/kg)</t>
  </si>
  <si>
    <t xml:space="preserve">by-product CO2 (PLACEHOLDER); model base 0.06</t>
  </si>
  <si>
    <t xml:space="preserve">Stress: labour x</t>
  </si>
  <si>
    <t xml:space="preserve">Share of labour that scales with kg</t>
  </si>
  <si>
    <t xml:space="preserve">PLACEHOLDER</t>
  </si>
  <si>
    <t xml:space="preserve">ECA supplier credit: advance on structure</t>
  </si>
  <si>
    <t xml:space="preserve">OECD Arrangement max 85 %</t>
  </si>
  <si>
    <t xml:space="preserve">ECA supplier credit: fixed rate</t>
  </si>
  <si>
    <t xml:space="preserve">OECD GBP CIRR, 8-yr bucket, 15 Sep-14 Oct 2026</t>
  </si>
  <si>
    <t xml:space="preserve">ECA supplier credit: tenor (yr)</t>
  </si>
  <si>
    <t xml:space="preserve">max 15</t>
  </si>
  <si>
    <t xml:space="preserve">ECA supplier credit: interest-only years</t>
  </si>
  <si>
    <t xml:space="preserve">needs the ECA's agreement</t>
  </si>
  <si>
    <t xml:space="preserve">ECA premium, up front</t>
  </si>
  <si>
    <t xml:space="preserve">Plant asset finance: advance</t>
  </si>
  <si>
    <t xml:space="preserve">Plant asset finance: rate</t>
  </si>
  <si>
    <t xml:space="preserve">Bank Rate 3.75 % + 3.25 %, PLACEHOLDER</t>
  </si>
  <si>
    <t xml:space="preserve">Plant asset finance: tenor (yr)</t>
  </si>
  <si>
    <t xml:space="preserve">Plant asset finance: interest-only years</t>
  </si>
  <si>
    <t xml:space="preserve">Plant asset finance: arrangement fee</t>
  </si>
  <si>
    <t xml:space="preserve">Capital grant (GBP)</t>
  </si>
  <si>
    <t xml:space="preserve">FDPSS up to GBP 0.4 M, packhouse only (GRANTS.md)</t>
  </si>
  <si>
    <t xml:space="preserve">Lender minimum DSCR</t>
  </si>
  <si>
    <t xml:space="preserve">PLACEHOLDER 1.20-1.35</t>
  </si>
  <si>
    <t xml:space="preserve">Equity hurdle, nominal post-tax</t>
  </si>
  <si>
    <t xml:space="preserve">Working capital (months of opex)</t>
  </si>
  <si>
    <t xml:space="preserve">DSRA (months of next year's debt service)</t>
  </si>
  <si>
    <t xml:space="preserve">Maintenance-reserve rate (real)</t>
  </si>
  <si>
    <t xml:space="preserve">levels the lumpy replacements for CFADS</t>
  </si>
  <si>
    <t xml:space="preserve">Special-rate first-year allowance</t>
  </si>
  <si>
    <t xml:space="preserve">CAA 2001 s.45S</t>
  </si>
  <si>
    <t xml:space="preserve">Special-rate writing-down allowance</t>
  </si>
  <si>
    <t xml:space="preserve">Capex lines (GBP, year 0)</t>
  </si>
  <si>
    <t xml:space="preserve">GBP</t>
  </si>
  <si>
    <t xml:space="preserve">Finance / allowance class</t>
  </si>
  <si>
    <t xml:space="preserve">steel</t>
  </si>
  <si>
    <t xml:space="preserve">ECA</t>
  </si>
  <si>
    <t xml:space="preserve">main</t>
  </si>
  <si>
    <t xml:space="preserve">aluminium</t>
  </si>
  <si>
    <t xml:space="preserve">glass_single_m2</t>
  </si>
  <si>
    <t xml:space="preserve">concrete</t>
  </si>
  <si>
    <t xml:space="preserve">pir_panel_m2</t>
  </si>
  <si>
    <t xml:space="preserve">heating_pipe_m</t>
  </si>
  <si>
    <t xml:space="preserve">special</t>
  </si>
  <si>
    <t xml:space="preserve">energy_screen_m2</t>
  </si>
  <si>
    <t xml:space="preserve">residual (SAC-calibrated: install, climate computer, irrigation, vents ...)</t>
  </si>
  <si>
    <t xml:space="preserve">heat_pump</t>
  </si>
  <si>
    <t xml:space="preserve">AF</t>
  </si>
  <si>
    <t xml:space="preserve">peak_boiler</t>
  </si>
  <si>
    <t xml:space="preserve">hot_water_store</t>
  </si>
  <si>
    <t xml:space="preserve">battery</t>
  </si>
  <si>
    <t xml:space="preserve">waste_heat_pipe</t>
  </si>
  <si>
    <t xml:space="preserve">-</t>
  </si>
  <si>
    <t xml:space="preserve">none</t>
  </si>
  <si>
    <t xml:space="preserve">hv_import_connection</t>
  </si>
  <si>
    <t xml:space="preserve">led_lighting</t>
  </si>
  <si>
    <t xml:space="preserve">development</t>
  </si>
  <si>
    <t xml:space="preserve">contingency</t>
  </si>
  <si>
    <t xml:space="preserve">Opex lines at full yield (real GBP/yr)</t>
  </si>
  <si>
    <t xml:space="preserve">electricity_grid</t>
  </si>
  <si>
    <t xml:space="preserve">elec</t>
  </si>
  <si>
    <t xml:space="preserve">electricity_wind_from_turbine</t>
  </si>
  <si>
    <t xml:space="preserve">network_charge_increase</t>
  </si>
  <si>
    <t xml:space="preserve">waste_heat_purchase</t>
  </si>
  <si>
    <t xml:space="preserve">fixed</t>
  </si>
  <si>
    <t xml:space="preserve">labour</t>
  </si>
  <si>
    <t xml:space="preserve">co2_purchased</t>
  </si>
  <si>
    <t xml:space="preserve">young_plants</t>
  </si>
  <si>
    <t xml:space="preserve">substrate</t>
  </si>
  <si>
    <t xml:space="preserve">fertiliser_protection_other</t>
  </si>
  <si>
    <t xml:space="preserve">packing</t>
  </si>
  <si>
    <t xml:space="preserve">per_kg</t>
  </si>
  <si>
    <t xml:space="preserve">haulage_to_rdc</t>
  </si>
  <si>
    <t xml:space="preserve">structure_om_insurance</t>
  </si>
  <si>
    <t xml:space="preserve">heat_pump_om</t>
  </si>
  <si>
    <t xml:space="preserve">store_om</t>
  </si>
  <si>
    <t xml:space="preserve">boiler_om</t>
  </si>
  <si>
    <t xml:space="preserve">overheads</t>
  </si>
  <si>
    <t xml:space="preserve">land_rent</t>
  </si>
  <si>
    <t xml:space="preserve">sales_commission</t>
  </si>
  <si>
    <t xml:space="preserve">Residual value at year 30 (real GBP)</t>
  </si>
  <si>
    <t xml:space="preserve">replaced items, straight line</t>
  </si>
  <si>
    <t xml:space="preserve">Revenue the commission line was set on (GBP/yr)</t>
  </si>
  <si>
    <t xml:space="preserve">Replacement capex (real GBP) by year</t>
  </si>
  <si>
    <t xml:space="preserve">year</t>
  </si>
  <si>
    <t xml:space="preserve">Lead finance model: annual cash flow (nominal GBP unless marked real)</t>
  </si>
  <si>
    <t xml:space="preserve">CPI index</t>
  </si>
  <si>
    <t xml:space="preserve">Output share</t>
  </si>
  <si>
    <t xml:space="preserve">kg sold</t>
  </si>
  <si>
    <t xml:space="preserve">Revenue, real</t>
  </si>
  <si>
    <t xml:space="preserve">Opex, real</t>
  </si>
  <si>
    <t xml:space="preserve">Replacement capex, real</t>
  </si>
  <si>
    <t xml:space="preserve">Unlevered cash flow, real pre-tax</t>
  </si>
  <si>
    <t xml:space="preserve">EBITDA, nominal</t>
  </si>
  <si>
    <t xml:space="preserve">Opex, nominal</t>
  </si>
  <si>
    <t xml:space="preserve">Replacements, nominal</t>
  </si>
  <si>
    <t xml:space="preserve">Residual value, nominal</t>
  </si>
  <si>
    <t xml:space="preserve">Special-rate pool additions</t>
  </si>
  <si>
    <t xml:space="preserve">First-year allowance (special)</t>
  </si>
  <si>
    <t xml:space="preserve">Writing-down allowance (special)</t>
  </si>
  <si>
    <t xml:space="preserve">Special-rate pool, closing</t>
  </si>
  <si>
    <t xml:space="preserve">Capital allowances</t>
  </si>
  <si>
    <t xml:space="preserve">ECA supplier credit, closing balance</t>
  </si>
  <si>
    <t xml:space="preserve">ECA interest</t>
  </si>
  <si>
    <t xml:space="preserve">ECA principal (equal instalments)</t>
  </si>
  <si>
    <t xml:space="preserve">Plant asset finance, closing balance</t>
  </si>
  <si>
    <t xml:space="preserve">Asset finance interest</t>
  </si>
  <si>
    <t xml:space="preserve">Asset finance principal (annuity)</t>
  </si>
  <si>
    <t xml:space="preserve">Debt service</t>
  </si>
  <si>
    <t xml:space="preserve">Taxable profit before losses</t>
  </si>
  <si>
    <t xml:space="preserve">Losses used</t>
  </si>
  <si>
    <t xml:space="preserve">Losses carried forward</t>
  </si>
  <si>
    <t xml:space="preserve">Corporation tax paid</t>
  </si>
  <si>
    <t xml:space="preserve">Working capital balance</t>
  </si>
  <si>
    <t xml:space="preserve">Working-capital build</t>
  </si>
  <si>
    <t xml:space="preserve">Maintenance reserve</t>
  </si>
  <si>
    <t xml:space="preserve">CFADS</t>
  </si>
  <si>
    <t xml:space="preserve">DSCR</t>
  </si>
  <si>
    <t xml:space="preserve">DSRA balance</t>
  </si>
  <si>
    <t xml:space="preserve">DSRA build</t>
  </si>
  <si>
    <t xml:space="preserve">Cash flow to equity</t>
  </si>
  <si>
    <t xml:space="preserve">Cumulative equity cash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</si>
</sst>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;&quot;(£&quot;#,##0\);\-"/>
    <numFmt numFmtId="166" formatCode="0.0%;\(0.0%\);\-"/>
    <numFmt numFmtId="167" formatCode="#,##0.00;\(#,##0.00\);\-"/>
    <numFmt numFmtId="168" formatCode="#,##0;\(#,##0\);\-"/>
    <numFmt numFmtId="169" formatCode="\£#,##0.000;&quot;(£&quot;#,##0.0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f aca="false">SUM(Inputs!$C$36:$C$52)*Inputs!$C$11</f>
        <v>11453364.5948659</v>
      </c>
      <c r="C5" s="5" t="n">
        <v>11453364.5948659</v>
      </c>
    </row>
    <row r="6" customFormat="false" ht="15" hidden="false" customHeight="false" outlineLevel="0" collapsed="false">
      <c r="A6" s="0" t="s">
        <v>6</v>
      </c>
      <c r="B6" s="4" t="n">
        <f aca="false">Cashflow!C20+Cashflow!C23</f>
        <v>8116837.32121469</v>
      </c>
      <c r="C6" s="5" t="n">
        <v>8116837.32121469</v>
      </c>
    </row>
    <row r="7" customFormat="false" ht="15" hidden="false" customHeight="false" outlineLevel="0" collapsed="false">
      <c r="A7" s="0" t="s">
        <v>7</v>
      </c>
      <c r="B7" s="4" t="n">
        <f aca="false">-Cashflow!C38</f>
        <v>4343008.16403581</v>
      </c>
      <c r="C7" s="5" t="n">
        <v>4343008.16403581</v>
      </c>
    </row>
    <row r="8" customFormat="false" ht="15" hidden="false" customHeight="false" outlineLevel="0" collapsed="false">
      <c r="A8" s="0" t="s">
        <v>8</v>
      </c>
      <c r="B8" s="6" t="n">
        <f aca="false">IRR(Cashflow!C10:AG10)</f>
        <v>0.152151040611475</v>
      </c>
      <c r="C8" s="7" t="n">
        <v>0.152151040611475</v>
      </c>
    </row>
    <row r="9" customFormat="false" ht="15" hidden="false" customHeight="false" outlineLevel="0" collapsed="false">
      <c r="A9" s="0" t="s">
        <v>9</v>
      </c>
      <c r="B9" s="6" t="n">
        <f aca="false">IRR(Cashflow!C38:AG38)</f>
        <v>0.218347900897367</v>
      </c>
      <c r="C9" s="7" t="n">
        <v>0.218347900897367</v>
      </c>
    </row>
    <row r="10" customFormat="false" ht="15" hidden="false" customHeight="false" outlineLevel="0" collapsed="false">
      <c r="A10" s="0" t="s">
        <v>10</v>
      </c>
      <c r="B10" s="6" t="n">
        <f aca="false">(1+B9)/(1+Inputs!$C$6)-1</f>
        <v>0.194458726369968</v>
      </c>
      <c r="C10" s="7" t="n">
        <v>0.194458726369968</v>
      </c>
    </row>
    <row r="11" customFormat="false" ht="15" hidden="false" customHeight="false" outlineLevel="0" collapsed="false">
      <c r="A11" s="0" t="s">
        <v>11</v>
      </c>
      <c r="B11" s="8" t="n">
        <f aca="false">Cashflow!D35</f>
        <v>2.12512138652128</v>
      </c>
      <c r="C11" s="9" t="n">
        <v>2.12512138652128</v>
      </c>
    </row>
    <row r="12" customFormat="false" ht="15" hidden="false" customHeight="false" outlineLevel="0" collapsed="false">
      <c r="A12" s="0" t="s">
        <v>12</v>
      </c>
      <c r="B12" s="8" t="n">
        <f aca="false">MIN(Cashflow!D35:AG35)</f>
        <v>1.56256792227105</v>
      </c>
      <c r="C12" s="9" t="n">
        <v>1.56256792227105</v>
      </c>
    </row>
    <row r="13" customFormat="false" ht="15" hidden="false" customHeight="false" outlineLevel="0" collapsed="false">
      <c r="A13" s="0" t="s">
        <v>13</v>
      </c>
      <c r="B13" s="4" t="n">
        <f aca="false">SUM(Cashflow!C30:AG30)</f>
        <v>15254224.7216448</v>
      </c>
      <c r="C13" s="5" t="n">
        <v>15254224.7216448</v>
      </c>
    </row>
    <row r="14" customFormat="false" ht="15" hidden="false" customHeight="false" outlineLevel="0" collapsed="false">
      <c r="A14" s="0" t="s">
        <v>14</v>
      </c>
      <c r="B14" s="4" t="n">
        <f aca="false">NPV(Inputs!$C$28,Cashflow!D38:AG38)+Cashflow!C38</f>
        <v>4567050.77373396</v>
      </c>
      <c r="C14" s="5" t="n">
        <v>4567050.77373396</v>
      </c>
    </row>
    <row r="15" customFormat="false" ht="15" hidden="false" customHeight="false" outlineLevel="0" collapsed="false">
      <c r="A15" s="0" t="s">
        <v>15</v>
      </c>
      <c r="B15" s="10" t="str">
        <f aca="false">IF(B12&gt;=Inputs!$C$27,"yes","NO")</f>
        <v>yes</v>
      </c>
      <c r="C15" s="11"/>
    </row>
    <row r="17" customFormat="false" ht="15" hidden="false" customHeight="false" outlineLevel="0" collapsed="false">
      <c r="A17" s="2" t="s">
        <v>16</v>
      </c>
    </row>
    <row r="18" customFormat="false" ht="15" hidden="false" customHeight="false" outlineLevel="0" collapsed="false">
      <c r="A18" s="0" t="s">
        <v>17</v>
      </c>
      <c r="C18" s="12" t="n">
        <v>1.23696778926242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13" t="s">
        <v>20</v>
      </c>
      <c r="C4" s="14" t="n">
        <v>1.39944742662665</v>
      </c>
      <c r="D4" s="2" t="s">
        <v>21</v>
      </c>
    </row>
    <row r="5" customFormat="false" ht="15" hidden="false" customHeight="false" outlineLevel="0" collapsed="false">
      <c r="A5" s="13" t="s">
        <v>22</v>
      </c>
      <c r="C5" s="14" t="n">
        <v>1.55494158514072</v>
      </c>
      <c r="D5" s="2" t="s">
        <v>23</v>
      </c>
    </row>
    <row r="6" customFormat="false" ht="15" hidden="false" customHeight="false" outlineLevel="0" collapsed="false">
      <c r="A6" s="13" t="s">
        <v>24</v>
      </c>
      <c r="C6" s="15" t="n">
        <v>0.02</v>
      </c>
      <c r="D6" s="2" t="s">
        <v>25</v>
      </c>
    </row>
    <row r="7" customFormat="false" ht="15" hidden="false" customHeight="false" outlineLevel="0" collapsed="false">
      <c r="A7" s="13" t="s">
        <v>26</v>
      </c>
      <c r="C7" s="15" t="n">
        <v>0.25</v>
      </c>
      <c r="D7" s="2" t="s">
        <v>27</v>
      </c>
    </row>
    <row r="8" customFormat="false" ht="15" hidden="false" customHeight="false" outlineLevel="0" collapsed="false">
      <c r="A8" s="13" t="s">
        <v>28</v>
      </c>
      <c r="C8" s="16" t="n">
        <v>2698092.52741621</v>
      </c>
      <c r="D8" s="2" t="s">
        <v>29</v>
      </c>
    </row>
    <row r="9" customFormat="false" ht="15" hidden="false" customHeight="false" outlineLevel="0" collapsed="false">
      <c r="A9" s="13" t="s">
        <v>30</v>
      </c>
      <c r="C9" s="15" t="n">
        <v>0.8</v>
      </c>
      <c r="D9" s="2" t="s">
        <v>31</v>
      </c>
    </row>
    <row r="10" customFormat="false" ht="15" hidden="false" customHeight="false" outlineLevel="0" collapsed="false">
      <c r="A10" s="13" t="s">
        <v>32</v>
      </c>
      <c r="C10" s="17" t="n">
        <v>1</v>
      </c>
      <c r="D10" s="2"/>
    </row>
    <row r="11" customFormat="false" ht="15" hidden="false" customHeight="false" outlineLevel="0" collapsed="false">
      <c r="A11" s="13" t="s">
        <v>33</v>
      </c>
      <c r="C11" s="17" t="n">
        <v>1</v>
      </c>
      <c r="D11" s="2"/>
    </row>
    <row r="12" customFormat="false" ht="15" hidden="false" customHeight="false" outlineLevel="0" collapsed="false">
      <c r="A12" s="13" t="s">
        <v>34</v>
      </c>
      <c r="C12" s="17" t="n">
        <v>1</v>
      </c>
      <c r="D12" s="2"/>
    </row>
    <row r="13" customFormat="false" ht="15" hidden="false" customHeight="false" outlineLevel="0" collapsed="false">
      <c r="A13" s="13" t="s">
        <v>35</v>
      </c>
      <c r="C13" s="14" t="n">
        <v>0.06</v>
      </c>
      <c r="D13" s="2" t="s">
        <v>36</v>
      </c>
    </row>
    <row r="14" customFormat="false" ht="15" hidden="false" customHeight="false" outlineLevel="0" collapsed="false">
      <c r="A14" s="13" t="s">
        <v>37</v>
      </c>
      <c r="C14" s="17" t="n">
        <v>1</v>
      </c>
      <c r="D14" s="2"/>
    </row>
    <row r="15" customFormat="false" ht="15" hidden="false" customHeight="false" outlineLevel="0" collapsed="false">
      <c r="A15" s="13" t="s">
        <v>38</v>
      </c>
      <c r="C15" s="15" t="n">
        <v>0.5</v>
      </c>
      <c r="D15" s="2" t="s">
        <v>39</v>
      </c>
    </row>
    <row r="16" customFormat="false" ht="15" hidden="false" customHeight="false" outlineLevel="0" collapsed="false">
      <c r="A16" s="13" t="s">
        <v>40</v>
      </c>
      <c r="C16" s="15" t="n">
        <v>0.85</v>
      </c>
      <c r="D16" s="2" t="s">
        <v>41</v>
      </c>
    </row>
    <row r="17" customFormat="false" ht="15" hidden="false" customHeight="false" outlineLevel="0" collapsed="false">
      <c r="A17" s="13" t="s">
        <v>42</v>
      </c>
      <c r="C17" s="15" t="n">
        <v>0.0581</v>
      </c>
      <c r="D17" s="2" t="s">
        <v>43</v>
      </c>
    </row>
    <row r="18" customFormat="false" ht="15" hidden="false" customHeight="false" outlineLevel="0" collapsed="false">
      <c r="A18" s="13" t="s">
        <v>44</v>
      </c>
      <c r="C18" s="16" t="n">
        <v>15</v>
      </c>
      <c r="D18" s="2" t="s">
        <v>45</v>
      </c>
    </row>
    <row r="19" customFormat="false" ht="15" hidden="false" customHeight="false" outlineLevel="0" collapsed="false">
      <c r="A19" s="13" t="s">
        <v>46</v>
      </c>
      <c r="C19" s="16" t="n">
        <v>1</v>
      </c>
      <c r="D19" s="2" t="s">
        <v>47</v>
      </c>
    </row>
    <row r="20" customFormat="false" ht="15" hidden="false" customHeight="false" outlineLevel="0" collapsed="false">
      <c r="A20" s="13" t="s">
        <v>48</v>
      </c>
      <c r="C20" s="15" t="n">
        <v>0.02</v>
      </c>
      <c r="D20" s="2" t="s">
        <v>39</v>
      </c>
    </row>
    <row r="21" customFormat="false" ht="15" hidden="false" customHeight="false" outlineLevel="0" collapsed="false">
      <c r="A21" s="13" t="s">
        <v>49</v>
      </c>
      <c r="C21" s="15" t="n">
        <v>0.9</v>
      </c>
      <c r="D21" s="2" t="s">
        <v>39</v>
      </c>
    </row>
    <row r="22" customFormat="false" ht="15" hidden="false" customHeight="false" outlineLevel="0" collapsed="false">
      <c r="A22" s="13" t="s">
        <v>50</v>
      </c>
      <c r="C22" s="15" t="n">
        <v>0.07</v>
      </c>
      <c r="D22" s="2" t="s">
        <v>51</v>
      </c>
    </row>
    <row r="23" customFormat="false" ht="15" hidden="false" customHeight="false" outlineLevel="0" collapsed="false">
      <c r="A23" s="13" t="s">
        <v>52</v>
      </c>
      <c r="C23" s="16" t="n">
        <v>10</v>
      </c>
      <c r="D23" s="2"/>
    </row>
    <row r="24" customFormat="false" ht="15" hidden="false" customHeight="false" outlineLevel="0" collapsed="false">
      <c r="A24" s="13" t="s">
        <v>53</v>
      </c>
      <c r="C24" s="16" t="n">
        <v>1</v>
      </c>
      <c r="D24" s="2"/>
    </row>
    <row r="25" customFormat="false" ht="15" hidden="false" customHeight="false" outlineLevel="0" collapsed="false">
      <c r="A25" s="13" t="s">
        <v>54</v>
      </c>
      <c r="C25" s="15" t="n">
        <v>0.01</v>
      </c>
      <c r="D25" s="2" t="s">
        <v>39</v>
      </c>
    </row>
    <row r="26" customFormat="false" ht="15" hidden="false" customHeight="false" outlineLevel="0" collapsed="false">
      <c r="A26" s="13" t="s">
        <v>55</v>
      </c>
      <c r="C26" s="18" t="n">
        <v>0</v>
      </c>
      <c r="D26" s="2" t="s">
        <v>56</v>
      </c>
    </row>
    <row r="27" customFormat="false" ht="15" hidden="false" customHeight="false" outlineLevel="0" collapsed="false">
      <c r="A27" s="13" t="s">
        <v>57</v>
      </c>
      <c r="C27" s="17" t="n">
        <v>1.25</v>
      </c>
      <c r="D27" s="2" t="s">
        <v>58</v>
      </c>
    </row>
    <row r="28" customFormat="false" ht="15" hidden="false" customHeight="false" outlineLevel="0" collapsed="false">
      <c r="A28" s="13" t="s">
        <v>59</v>
      </c>
      <c r="C28" s="15" t="n">
        <v>0.12</v>
      </c>
      <c r="D28" s="2" t="s">
        <v>39</v>
      </c>
    </row>
    <row r="29" customFormat="false" ht="15" hidden="false" customHeight="false" outlineLevel="0" collapsed="false">
      <c r="A29" s="13" t="s">
        <v>60</v>
      </c>
      <c r="C29" s="16" t="n">
        <v>2</v>
      </c>
      <c r="D29" s="2"/>
    </row>
    <row r="30" customFormat="false" ht="15" hidden="false" customHeight="false" outlineLevel="0" collapsed="false">
      <c r="A30" s="13" t="s">
        <v>61</v>
      </c>
      <c r="C30" s="16" t="n">
        <v>6</v>
      </c>
      <c r="D30" s="2"/>
    </row>
    <row r="31" customFormat="false" ht="15" hidden="false" customHeight="false" outlineLevel="0" collapsed="false">
      <c r="A31" s="13" t="s">
        <v>62</v>
      </c>
      <c r="C31" s="15" t="n">
        <v>0.06</v>
      </c>
      <c r="D31" s="2" t="s">
        <v>63</v>
      </c>
    </row>
    <row r="32" customFormat="false" ht="15" hidden="false" customHeight="false" outlineLevel="0" collapsed="false">
      <c r="A32" s="13" t="s">
        <v>64</v>
      </c>
      <c r="C32" s="15" t="n">
        <v>0.5</v>
      </c>
      <c r="D32" s="2" t="s">
        <v>65</v>
      </c>
    </row>
    <row r="33" customFormat="false" ht="15" hidden="false" customHeight="false" outlineLevel="0" collapsed="false">
      <c r="A33" s="13" t="s">
        <v>66</v>
      </c>
      <c r="C33" s="15" t="n">
        <v>0.06</v>
      </c>
      <c r="D33" s="2"/>
    </row>
    <row r="35" customFormat="false" ht="15" hidden="false" customHeight="false" outlineLevel="0" collapsed="false">
      <c r="A35" s="3" t="s">
        <v>67</v>
      </c>
      <c r="C35" s="3" t="s">
        <v>68</v>
      </c>
      <c r="D35" s="3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  <c r="C36" s="18" t="n">
        <v>794190.246860968</v>
      </c>
      <c r="D36" s="19" t="s">
        <v>72</v>
      </c>
    </row>
    <row r="37" customFormat="false" ht="15" hidden="false" customHeight="false" outlineLevel="0" collapsed="false">
      <c r="A37" s="0" t="s">
        <v>73</v>
      </c>
      <c r="B37" s="0" t="s">
        <v>71</v>
      </c>
      <c r="C37" s="18" t="n">
        <v>191960.282372855</v>
      </c>
      <c r="D37" s="19" t="s">
        <v>72</v>
      </c>
    </row>
    <row r="38" customFormat="false" ht="15" hidden="false" customHeight="false" outlineLevel="0" collapsed="false">
      <c r="A38" s="0" t="s">
        <v>74</v>
      </c>
      <c r="B38" s="0" t="s">
        <v>71</v>
      </c>
      <c r="C38" s="18" t="n">
        <v>833160.947798851</v>
      </c>
      <c r="D38" s="19" t="s">
        <v>72</v>
      </c>
    </row>
    <row r="39" customFormat="false" ht="15" hidden="false" customHeight="false" outlineLevel="0" collapsed="false">
      <c r="A39" s="0" t="s">
        <v>75</v>
      </c>
      <c r="B39" s="0" t="s">
        <v>71</v>
      </c>
      <c r="C39" s="18" t="n">
        <v>65768.2228362101</v>
      </c>
      <c r="D39" s="19" t="s">
        <v>72</v>
      </c>
    </row>
    <row r="40" customFormat="false" ht="15" hidden="false" customHeight="false" outlineLevel="0" collapsed="false">
      <c r="A40" s="0" t="s">
        <v>76</v>
      </c>
      <c r="B40" s="0" t="s">
        <v>71</v>
      </c>
      <c r="C40" s="18" t="n">
        <v>0</v>
      </c>
      <c r="D40" s="19" t="s">
        <v>72</v>
      </c>
    </row>
    <row r="41" customFormat="false" ht="15" hidden="false" customHeight="false" outlineLevel="0" collapsed="false">
      <c r="A41" s="0" t="s">
        <v>77</v>
      </c>
      <c r="B41" s="0" t="s">
        <v>71</v>
      </c>
      <c r="C41" s="18" t="n">
        <v>1044000.001044</v>
      </c>
      <c r="D41" s="19" t="s">
        <v>78</v>
      </c>
    </row>
    <row r="42" customFormat="false" ht="15" hidden="false" customHeight="false" outlineLevel="0" collapsed="false">
      <c r="A42" s="0" t="s">
        <v>79</v>
      </c>
      <c r="B42" s="0" t="s">
        <v>71</v>
      </c>
      <c r="C42" s="18" t="n">
        <v>174000.000174</v>
      </c>
      <c r="D42" s="19" t="s">
        <v>72</v>
      </c>
    </row>
    <row r="43" customFormat="false" ht="15" hidden="false" customHeight="false" outlineLevel="0" collapsed="false">
      <c r="A43" s="0" t="s">
        <v>80</v>
      </c>
      <c r="B43" s="0" t="s">
        <v>71</v>
      </c>
      <c r="C43" s="18" t="n">
        <v>2420028.40295523</v>
      </c>
      <c r="D43" s="19" t="s">
        <v>72</v>
      </c>
    </row>
    <row r="44" customFormat="false" ht="15" hidden="false" customHeight="false" outlineLevel="0" collapsed="false">
      <c r="A44" s="0" t="s">
        <v>81</v>
      </c>
      <c r="B44" s="0" t="s">
        <v>82</v>
      </c>
      <c r="C44" s="18" t="n">
        <v>2345334.63541619</v>
      </c>
      <c r="D44" s="19" t="s">
        <v>78</v>
      </c>
    </row>
    <row r="45" customFormat="false" ht="15" hidden="false" customHeight="false" outlineLevel="0" collapsed="false">
      <c r="A45" s="0" t="s">
        <v>83</v>
      </c>
      <c r="B45" s="0" t="s">
        <v>82</v>
      </c>
      <c r="C45" s="18" t="n">
        <v>0</v>
      </c>
      <c r="D45" s="19" t="s">
        <v>78</v>
      </c>
    </row>
    <row r="46" customFormat="false" ht="15" hidden="false" customHeight="false" outlineLevel="0" collapsed="false">
      <c r="A46" s="0" t="s">
        <v>84</v>
      </c>
      <c r="B46" s="0" t="s">
        <v>82</v>
      </c>
      <c r="C46" s="18" t="n">
        <v>650614.733531641</v>
      </c>
      <c r="D46" s="19" t="s">
        <v>78</v>
      </c>
    </row>
    <row r="47" customFormat="false" ht="15" hidden="false" customHeight="false" outlineLevel="0" collapsed="false">
      <c r="A47" s="0" t="s">
        <v>85</v>
      </c>
      <c r="B47" s="0" t="s">
        <v>82</v>
      </c>
      <c r="C47" s="18" t="n">
        <v>0</v>
      </c>
      <c r="D47" s="19" t="s">
        <v>78</v>
      </c>
    </row>
    <row r="48" customFormat="false" ht="15" hidden="false" customHeight="false" outlineLevel="0" collapsed="false">
      <c r="A48" s="0" t="s">
        <v>86</v>
      </c>
      <c r="B48" s="0" t="s">
        <v>87</v>
      </c>
      <c r="C48" s="18" t="n">
        <v>0</v>
      </c>
      <c r="D48" s="19" t="s">
        <v>88</v>
      </c>
    </row>
    <row r="49" customFormat="false" ht="15" hidden="false" customHeight="false" outlineLevel="0" collapsed="false">
      <c r="A49" s="0" t="s">
        <v>89</v>
      </c>
      <c r="B49" s="0" t="s">
        <v>87</v>
      </c>
      <c r="C49" s="18" t="n">
        <v>633900</v>
      </c>
      <c r="D49" s="19" t="s">
        <v>88</v>
      </c>
    </row>
    <row r="50" customFormat="false" ht="15" hidden="false" customHeight="false" outlineLevel="0" collapsed="false">
      <c r="A50" s="0" t="s">
        <v>90</v>
      </c>
      <c r="B50" s="0" t="s">
        <v>82</v>
      </c>
      <c r="C50" s="18" t="n">
        <v>806490.00080649</v>
      </c>
      <c r="D50" s="19" t="s">
        <v>78</v>
      </c>
    </row>
    <row r="51" customFormat="false" ht="15" hidden="false" customHeight="false" outlineLevel="0" collapsed="false">
      <c r="A51" s="0" t="s">
        <v>91</v>
      </c>
      <c r="B51" s="0" t="s">
        <v>87</v>
      </c>
      <c r="C51" s="18" t="n">
        <v>497972.373689822</v>
      </c>
      <c r="D51" s="19" t="s">
        <v>88</v>
      </c>
    </row>
    <row r="52" customFormat="false" ht="15" hidden="false" customHeight="false" outlineLevel="0" collapsed="false">
      <c r="A52" s="0" t="s">
        <v>92</v>
      </c>
      <c r="B52" s="0" t="s">
        <v>87</v>
      </c>
      <c r="C52" s="18" t="n">
        <v>995944.747379644</v>
      </c>
      <c r="D52" s="19" t="s">
        <v>92</v>
      </c>
    </row>
    <row r="54" customFormat="false" ht="15" hidden="false" customHeight="false" outlineLevel="0" collapsed="false">
      <c r="A54" s="3" t="s">
        <v>93</v>
      </c>
    </row>
    <row r="55" customFormat="false" ht="15" hidden="false" customHeight="false" outlineLevel="0" collapsed="false">
      <c r="A55" s="0" t="s">
        <v>94</v>
      </c>
      <c r="C55" s="18" t="n">
        <v>204071.650499882</v>
      </c>
      <c r="D55" s="19" t="s">
        <v>95</v>
      </c>
    </row>
    <row r="56" customFormat="false" ht="15" hidden="false" customHeight="false" outlineLevel="0" collapsed="false">
      <c r="A56" s="0" t="s">
        <v>96</v>
      </c>
      <c r="C56" s="18" t="n">
        <v>528863.706398878</v>
      </c>
      <c r="D56" s="19" t="s">
        <v>95</v>
      </c>
    </row>
    <row r="57" customFormat="false" ht="15" hidden="false" customHeight="false" outlineLevel="0" collapsed="false">
      <c r="A57" s="0" t="s">
        <v>97</v>
      </c>
      <c r="C57" s="18" t="n">
        <v>77128.15</v>
      </c>
      <c r="D57" s="19" t="s">
        <v>95</v>
      </c>
    </row>
    <row r="58" customFormat="false" ht="15" hidden="false" customHeight="false" outlineLevel="0" collapsed="false">
      <c r="A58" s="0" t="s">
        <v>98</v>
      </c>
      <c r="C58" s="18" t="n">
        <v>0</v>
      </c>
      <c r="D58" s="19" t="s">
        <v>99</v>
      </c>
    </row>
    <row r="59" customFormat="false" ht="15" hidden="false" customHeight="false" outlineLevel="0" collapsed="false">
      <c r="A59" s="0" t="s">
        <v>100</v>
      </c>
      <c r="C59" s="18" t="n">
        <v>455124.588078783</v>
      </c>
      <c r="D59" s="19" t="s">
        <v>100</v>
      </c>
    </row>
    <row r="60" customFormat="false" ht="15" hidden="false" customHeight="false" outlineLevel="0" collapsed="false">
      <c r="A60" s="0" t="s">
        <v>101</v>
      </c>
      <c r="C60" s="18" t="n">
        <v>82968.6434332491</v>
      </c>
      <c r="D60" s="19" t="s">
        <v>101</v>
      </c>
    </row>
    <row r="61" customFormat="false" ht="15" hidden="false" customHeight="false" outlineLevel="0" collapsed="false">
      <c r="A61" s="0" t="s">
        <v>102</v>
      </c>
      <c r="C61" s="18" t="n">
        <v>95410.00009541</v>
      </c>
      <c r="D61" s="19" t="s">
        <v>99</v>
      </c>
    </row>
    <row r="62" customFormat="false" ht="15" hidden="false" customHeight="false" outlineLevel="0" collapsed="false">
      <c r="A62" s="0" t="s">
        <v>103</v>
      </c>
      <c r="C62" s="18" t="n">
        <v>20445.000020445</v>
      </c>
      <c r="D62" s="19" t="s">
        <v>99</v>
      </c>
    </row>
    <row r="63" customFormat="false" ht="15" hidden="false" customHeight="false" outlineLevel="0" collapsed="false">
      <c r="A63" s="0" t="s">
        <v>104</v>
      </c>
      <c r="C63" s="18" t="n">
        <v>54520.00005452</v>
      </c>
      <c r="D63" s="19" t="s">
        <v>99</v>
      </c>
    </row>
    <row r="64" customFormat="false" ht="15" hidden="false" customHeight="false" outlineLevel="0" collapsed="false">
      <c r="A64" s="0" t="s">
        <v>105</v>
      </c>
      <c r="C64" s="18" t="n">
        <v>134904.626370811</v>
      </c>
      <c r="D64" s="19" t="s">
        <v>106</v>
      </c>
    </row>
    <row r="65" customFormat="false" ht="15" hidden="false" customHeight="false" outlineLevel="0" collapsed="false">
      <c r="A65" s="0" t="s">
        <v>107</v>
      </c>
      <c r="C65" s="18" t="n">
        <v>0</v>
      </c>
      <c r="D65" s="19" t="s">
        <v>106</v>
      </c>
    </row>
    <row r="66" customFormat="false" ht="15" hidden="false" customHeight="false" outlineLevel="0" collapsed="false">
      <c r="A66" s="0" t="s">
        <v>108</v>
      </c>
      <c r="C66" s="18" t="n">
        <v>110462.162080842</v>
      </c>
      <c r="D66" s="19" t="s">
        <v>99</v>
      </c>
    </row>
    <row r="67" customFormat="false" ht="15" hidden="false" customHeight="false" outlineLevel="0" collapsed="false">
      <c r="A67" s="0" t="s">
        <v>109</v>
      </c>
      <c r="C67" s="18" t="n">
        <v>4732.9095600603</v>
      </c>
      <c r="D67" s="19" t="s">
        <v>99</v>
      </c>
    </row>
    <row r="68" customFormat="false" ht="15" hidden="false" customHeight="false" outlineLevel="0" collapsed="false">
      <c r="A68" s="0" t="s">
        <v>110</v>
      </c>
      <c r="C68" s="18" t="n">
        <v>1053.73064140677</v>
      </c>
      <c r="D68" s="19" t="s">
        <v>99</v>
      </c>
    </row>
    <row r="69" customFormat="false" ht="15" hidden="false" customHeight="false" outlineLevel="0" collapsed="false">
      <c r="A69" s="0" t="s">
        <v>111</v>
      </c>
      <c r="C69" s="18" t="n">
        <v>0</v>
      </c>
      <c r="D69" s="19" t="s">
        <v>99</v>
      </c>
    </row>
    <row r="70" customFormat="false" ht="15" hidden="false" customHeight="false" outlineLevel="0" collapsed="false">
      <c r="A70" s="0" t="s">
        <v>112</v>
      </c>
      <c r="C70" s="18" t="n">
        <v>87000.000087</v>
      </c>
      <c r="D70" s="19" t="s">
        <v>99</v>
      </c>
    </row>
    <row r="71" customFormat="false" ht="15" hidden="false" customHeight="false" outlineLevel="0" collapsed="false">
      <c r="A71" s="0" t="s">
        <v>113</v>
      </c>
      <c r="C71" s="18" t="n">
        <v>3770.00000377</v>
      </c>
      <c r="D71" s="19" t="s">
        <v>99</v>
      </c>
    </row>
    <row r="72" customFormat="false" ht="15" hidden="false" customHeight="false" outlineLevel="0" collapsed="false">
      <c r="A72" s="0" t="s">
        <v>114</v>
      </c>
      <c r="C72" s="18" t="n">
        <v>0</v>
      </c>
      <c r="D72" s="19" t="s">
        <v>114</v>
      </c>
    </row>
    <row r="74" customFormat="false" ht="15" hidden="false" customHeight="false" outlineLevel="0" collapsed="false">
      <c r="A74" s="13" t="s">
        <v>115</v>
      </c>
      <c r="C74" s="18" t="n">
        <v>2077936.74191256</v>
      </c>
      <c r="D74" s="2" t="s">
        <v>116</v>
      </c>
    </row>
    <row r="75" customFormat="false" ht="15" hidden="false" customHeight="false" outlineLevel="0" collapsed="false">
      <c r="A75" s="13" t="s">
        <v>117</v>
      </c>
      <c r="C75" s="18" t="n">
        <v>4069514.9832938</v>
      </c>
      <c r="D75" s="2"/>
    </row>
    <row r="77" customFormat="false" ht="15" hidden="false" customHeight="false" outlineLevel="0" collapsed="false">
      <c r="A77" s="3" t="s">
        <v>118</v>
      </c>
    </row>
    <row r="78" customFormat="false" ht="15" hidden="false" customHeight="false" outlineLevel="0" collapsed="false">
      <c r="A78" s="0" t="s">
        <v>119</v>
      </c>
      <c r="E78" s="0" t="n">
        <v>0</v>
      </c>
      <c r="F78" s="0" t="n">
        <v>1</v>
      </c>
      <c r="G78" s="0" t="n">
        <v>2</v>
      </c>
      <c r="H78" s="0" t="n">
        <v>3</v>
      </c>
      <c r="I78" s="0" t="n">
        <v>4</v>
      </c>
      <c r="J78" s="0" t="n">
        <v>5</v>
      </c>
      <c r="K78" s="0" t="n">
        <v>6</v>
      </c>
      <c r="L78" s="0" t="n">
        <v>7</v>
      </c>
      <c r="M78" s="0" t="n">
        <v>8</v>
      </c>
      <c r="N78" s="0" t="n">
        <v>9</v>
      </c>
      <c r="O78" s="0" t="n">
        <v>10</v>
      </c>
      <c r="P78" s="0" t="n">
        <v>11</v>
      </c>
      <c r="Q78" s="0" t="n">
        <v>12</v>
      </c>
      <c r="R78" s="0" t="n">
        <v>13</v>
      </c>
      <c r="S78" s="0" t="n">
        <v>14</v>
      </c>
      <c r="T78" s="0" t="n">
        <v>15</v>
      </c>
      <c r="U78" s="0" t="n">
        <v>16</v>
      </c>
      <c r="V78" s="0" t="n">
        <v>17</v>
      </c>
      <c r="W78" s="0" t="n">
        <v>18</v>
      </c>
      <c r="X78" s="0" t="n">
        <v>19</v>
      </c>
      <c r="Y78" s="0" t="n">
        <v>20</v>
      </c>
      <c r="Z78" s="0" t="n">
        <v>21</v>
      </c>
      <c r="AA78" s="0" t="n">
        <v>22</v>
      </c>
      <c r="AB78" s="0" t="n">
        <v>23</v>
      </c>
      <c r="AC78" s="0" t="n">
        <v>24</v>
      </c>
      <c r="AD78" s="0" t="n">
        <v>25</v>
      </c>
      <c r="AE78" s="0" t="n">
        <v>26</v>
      </c>
      <c r="AF78" s="0" t="n">
        <v>27</v>
      </c>
      <c r="AG78" s="0" t="n">
        <v>28</v>
      </c>
      <c r="AH78" s="0" t="n">
        <v>29</v>
      </c>
      <c r="AI78" s="0" t="n">
        <v>30</v>
      </c>
    </row>
    <row r="79" customFormat="false" ht="15" hidden="false" customHeight="false" outlineLevel="0" collapsed="false">
      <c r="A79" s="0" t="s">
        <v>68</v>
      </c>
      <c r="E79" s="16" t="n">
        <v>0</v>
      </c>
      <c r="F79" s="16" t="n">
        <v>2.3283064365387E-010</v>
      </c>
      <c r="G79" s="16" t="n">
        <v>0</v>
      </c>
      <c r="H79" s="16" t="n">
        <v>0</v>
      </c>
      <c r="I79" s="16" t="n">
        <v>0</v>
      </c>
      <c r="J79" s="16" t="n">
        <v>0</v>
      </c>
      <c r="K79" s="16" t="n">
        <v>0</v>
      </c>
      <c r="L79" s="16" t="n">
        <v>0</v>
      </c>
      <c r="M79" s="16" t="n">
        <v>0</v>
      </c>
      <c r="N79" s="16" t="n">
        <v>0</v>
      </c>
      <c r="O79" s="16" t="n">
        <v>456336.647185443</v>
      </c>
      <c r="P79" s="16" t="n">
        <v>0</v>
      </c>
      <c r="Q79" s="16" t="n">
        <v>0</v>
      </c>
      <c r="R79" s="16" t="n">
        <v>0</v>
      </c>
      <c r="S79" s="16" t="n">
        <v>0</v>
      </c>
      <c r="T79" s="16" t="n">
        <v>1036968.89632604</v>
      </c>
      <c r="U79" s="16" t="n">
        <v>0</v>
      </c>
      <c r="V79" s="16" t="n">
        <v>0</v>
      </c>
      <c r="W79" s="16" t="n">
        <v>0</v>
      </c>
      <c r="X79" s="16" t="n">
        <v>0</v>
      </c>
      <c r="Y79" s="16" t="n">
        <v>859674.714344648</v>
      </c>
      <c r="Z79" s="16" t="n">
        <v>0</v>
      </c>
      <c r="AA79" s="16" t="n">
        <v>0</v>
      </c>
      <c r="AB79" s="16" t="n">
        <v>0</v>
      </c>
      <c r="AC79" s="16" t="n">
        <v>0</v>
      </c>
      <c r="AD79" s="16" t="n">
        <v>2345334.63541619</v>
      </c>
      <c r="AE79" s="16" t="n">
        <v>0</v>
      </c>
      <c r="AF79" s="16" t="n">
        <v>0</v>
      </c>
      <c r="AG79" s="16" t="n">
        <v>0</v>
      </c>
      <c r="AH79" s="16" t="n">
        <v>0</v>
      </c>
      <c r="AI79" s="1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3" min="3" style="0" width="12"/>
  </cols>
  <sheetData>
    <row r="1" customFormat="false" ht="17.3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13"/>
      <c r="C3" s="20" t="n">
        <v>0</v>
      </c>
      <c r="D3" s="20" t="n">
        <v>1</v>
      </c>
      <c r="E3" s="20" t="n">
        <v>2</v>
      </c>
      <c r="F3" s="20" t="n">
        <v>3</v>
      </c>
      <c r="G3" s="20" t="n">
        <v>4</v>
      </c>
      <c r="H3" s="20" t="n">
        <v>5</v>
      </c>
      <c r="I3" s="20" t="n">
        <v>6</v>
      </c>
      <c r="J3" s="20" t="n">
        <v>7</v>
      </c>
      <c r="K3" s="20" t="n">
        <v>8</v>
      </c>
      <c r="L3" s="20" t="n">
        <v>9</v>
      </c>
      <c r="M3" s="20" t="n">
        <v>10</v>
      </c>
      <c r="N3" s="20" t="n">
        <v>11</v>
      </c>
      <c r="O3" s="20" t="n">
        <v>12</v>
      </c>
      <c r="P3" s="20" t="n">
        <v>13</v>
      </c>
      <c r="Q3" s="20" t="n">
        <v>14</v>
      </c>
      <c r="R3" s="20" t="n">
        <v>15</v>
      </c>
      <c r="S3" s="20" t="n">
        <v>16</v>
      </c>
      <c r="T3" s="20" t="n">
        <v>17</v>
      </c>
      <c r="U3" s="20" t="n">
        <v>18</v>
      </c>
      <c r="V3" s="20" t="n">
        <v>19</v>
      </c>
      <c r="W3" s="20" t="n">
        <v>20</v>
      </c>
      <c r="X3" s="20" t="n">
        <v>21</v>
      </c>
      <c r="Y3" s="20" t="n">
        <v>22</v>
      </c>
      <c r="Z3" s="20" t="n">
        <v>23</v>
      </c>
      <c r="AA3" s="20" t="n">
        <v>24</v>
      </c>
      <c r="AB3" s="20" t="n">
        <v>25</v>
      </c>
      <c r="AC3" s="20" t="n">
        <v>26</v>
      </c>
      <c r="AD3" s="20" t="n">
        <v>27</v>
      </c>
      <c r="AE3" s="20" t="n">
        <v>28</v>
      </c>
      <c r="AF3" s="20" t="n">
        <v>29</v>
      </c>
      <c r="AG3" s="20" t="n">
        <v>30</v>
      </c>
    </row>
    <row r="4" customFormat="false" ht="15" hidden="false" customHeight="false" outlineLevel="0" collapsed="false">
      <c r="A4" s="13" t="s">
        <v>121</v>
      </c>
      <c r="C4" s="20" t="n">
        <f aca="false">(1+Inputs!$C$6)^C3</f>
        <v>1</v>
      </c>
      <c r="D4" s="20" t="n">
        <f aca="false">(1+Inputs!$C$6)^D3</f>
        <v>1.02</v>
      </c>
      <c r="E4" s="20" t="n">
        <f aca="false">(1+Inputs!$C$6)^E3</f>
        <v>1.0404</v>
      </c>
      <c r="F4" s="20" t="n">
        <f aca="false">(1+Inputs!$C$6)^F3</f>
        <v>1.061208</v>
      </c>
      <c r="G4" s="20" t="n">
        <f aca="false">(1+Inputs!$C$6)^G3</f>
        <v>1.08243216</v>
      </c>
      <c r="H4" s="20" t="n">
        <f aca="false">(1+Inputs!$C$6)^H3</f>
        <v>1.1040808032</v>
      </c>
      <c r="I4" s="20" t="n">
        <f aca="false">(1+Inputs!$C$6)^I3</f>
        <v>1.126162419264</v>
      </c>
      <c r="J4" s="20" t="n">
        <f aca="false">(1+Inputs!$C$6)^J3</f>
        <v>1.14868566764928</v>
      </c>
      <c r="K4" s="20" t="n">
        <f aca="false">(1+Inputs!$C$6)^K3</f>
        <v>1.17165938100227</v>
      </c>
      <c r="L4" s="20" t="n">
        <f aca="false">(1+Inputs!$C$6)^L3</f>
        <v>1.19509256862231</v>
      </c>
      <c r="M4" s="20" t="n">
        <f aca="false">(1+Inputs!$C$6)^M3</f>
        <v>1.21899441999476</v>
      </c>
      <c r="N4" s="20" t="n">
        <f aca="false">(1+Inputs!$C$6)^N3</f>
        <v>1.24337430839465</v>
      </c>
      <c r="O4" s="20" t="n">
        <f aca="false">(1+Inputs!$C$6)^O3</f>
        <v>1.26824179456255</v>
      </c>
      <c r="P4" s="20" t="n">
        <f aca="false">(1+Inputs!$C$6)^P3</f>
        <v>1.2936066304538</v>
      </c>
      <c r="Q4" s="20" t="n">
        <f aca="false">(1+Inputs!$C$6)^Q3</f>
        <v>1.31947876306287</v>
      </c>
      <c r="R4" s="20" t="n">
        <f aca="false">(1+Inputs!$C$6)^R3</f>
        <v>1.34586833832413</v>
      </c>
      <c r="S4" s="20" t="n">
        <f aca="false">(1+Inputs!$C$6)^S3</f>
        <v>1.37278570509061</v>
      </c>
      <c r="T4" s="20" t="n">
        <f aca="false">(1+Inputs!$C$6)^T3</f>
        <v>1.40024141919242</v>
      </c>
      <c r="U4" s="20" t="n">
        <f aca="false">(1+Inputs!$C$6)^U3</f>
        <v>1.42824624757627</v>
      </c>
      <c r="V4" s="20" t="n">
        <f aca="false">(1+Inputs!$C$6)^V3</f>
        <v>1.4568111725278</v>
      </c>
      <c r="W4" s="20" t="n">
        <f aca="false">(1+Inputs!$C$6)^W3</f>
        <v>1.48594739597836</v>
      </c>
      <c r="X4" s="20" t="n">
        <f aca="false">(1+Inputs!$C$6)^X3</f>
        <v>1.51566634389792</v>
      </c>
      <c r="Y4" s="20" t="n">
        <f aca="false">(1+Inputs!$C$6)^Y3</f>
        <v>1.54597967077588</v>
      </c>
      <c r="Z4" s="20" t="n">
        <f aca="false">(1+Inputs!$C$6)^Z3</f>
        <v>1.5768992641914</v>
      </c>
      <c r="AA4" s="20" t="n">
        <f aca="false">(1+Inputs!$C$6)^AA3</f>
        <v>1.60843724947523</v>
      </c>
      <c r="AB4" s="20" t="n">
        <f aca="false">(1+Inputs!$C$6)^AB3</f>
        <v>1.64060599446473</v>
      </c>
      <c r="AC4" s="20" t="n">
        <f aca="false">(1+Inputs!$C$6)^AC3</f>
        <v>1.67341811435403</v>
      </c>
      <c r="AD4" s="20" t="n">
        <f aca="false">(1+Inputs!$C$6)^AD3</f>
        <v>1.70688647664111</v>
      </c>
      <c r="AE4" s="20" t="n">
        <f aca="false">(1+Inputs!$C$6)^AE3</f>
        <v>1.74102420617393</v>
      </c>
      <c r="AF4" s="20" t="n">
        <f aca="false">(1+Inputs!$C$6)^AF3</f>
        <v>1.77584469029741</v>
      </c>
      <c r="AG4" s="20" t="n">
        <f aca="false">(1+Inputs!$C$6)^AG3</f>
        <v>1.81136158410335</v>
      </c>
    </row>
    <row r="5" customFormat="false" ht="15" hidden="false" customHeight="false" outlineLevel="0" collapsed="false">
      <c r="A5" s="13" t="s">
        <v>122</v>
      </c>
      <c r="C5" s="20" t="n">
        <v>0</v>
      </c>
      <c r="D5" s="20" t="n">
        <f aca="false">Inputs!$C$9</f>
        <v>0.8</v>
      </c>
      <c r="E5" s="20" t="n">
        <v>1</v>
      </c>
      <c r="F5" s="20" t="n">
        <v>1</v>
      </c>
      <c r="G5" s="20" t="n">
        <v>1</v>
      </c>
      <c r="H5" s="20" t="n">
        <v>1</v>
      </c>
      <c r="I5" s="20" t="n">
        <v>1</v>
      </c>
      <c r="J5" s="20" t="n">
        <v>1</v>
      </c>
      <c r="K5" s="20" t="n">
        <v>1</v>
      </c>
      <c r="L5" s="20" t="n">
        <v>1</v>
      </c>
      <c r="M5" s="20" t="n">
        <v>1</v>
      </c>
      <c r="N5" s="20" t="n">
        <v>1</v>
      </c>
      <c r="O5" s="20" t="n">
        <v>1</v>
      </c>
      <c r="P5" s="20" t="n">
        <v>1</v>
      </c>
      <c r="Q5" s="20" t="n">
        <v>1</v>
      </c>
      <c r="R5" s="20" t="n">
        <v>1</v>
      </c>
      <c r="S5" s="20" t="n">
        <v>1</v>
      </c>
      <c r="T5" s="20" t="n">
        <v>1</v>
      </c>
      <c r="U5" s="20" t="n">
        <v>1</v>
      </c>
      <c r="V5" s="20" t="n">
        <v>1</v>
      </c>
      <c r="W5" s="20" t="n">
        <v>1</v>
      </c>
      <c r="X5" s="20" t="n">
        <v>1</v>
      </c>
      <c r="Y5" s="20" t="n">
        <v>1</v>
      </c>
      <c r="Z5" s="20" t="n">
        <v>1</v>
      </c>
      <c r="AA5" s="20" t="n">
        <v>1</v>
      </c>
      <c r="AB5" s="20" t="n">
        <v>1</v>
      </c>
      <c r="AC5" s="20" t="n">
        <v>1</v>
      </c>
      <c r="AD5" s="20" t="n">
        <v>1</v>
      </c>
      <c r="AE5" s="20" t="n">
        <v>1</v>
      </c>
      <c r="AF5" s="20" t="n">
        <v>1</v>
      </c>
      <c r="AG5" s="20" t="n">
        <v>1</v>
      </c>
    </row>
    <row r="6" customFormat="false" ht="15" hidden="false" customHeight="false" outlineLevel="0" collapsed="false">
      <c r="A6" s="13" t="s">
        <v>123</v>
      </c>
      <c r="C6" s="21" t="n">
        <f aca="false">Inputs!$C$8*Inputs!$C$10*C5</f>
        <v>0</v>
      </c>
      <c r="D6" s="21" t="n">
        <f aca="false">Inputs!$C$8*Inputs!$C$10*D5</f>
        <v>2158474.02193297</v>
      </c>
      <c r="E6" s="21" t="n">
        <f aca="false">Inputs!$C$8*Inputs!$C$10*E5</f>
        <v>2698092.52741621</v>
      </c>
      <c r="F6" s="21" t="n">
        <f aca="false">Inputs!$C$8*Inputs!$C$10*F5</f>
        <v>2698092.52741621</v>
      </c>
      <c r="G6" s="21" t="n">
        <f aca="false">Inputs!$C$8*Inputs!$C$10*G5</f>
        <v>2698092.52741621</v>
      </c>
      <c r="H6" s="21" t="n">
        <f aca="false">Inputs!$C$8*Inputs!$C$10*H5</f>
        <v>2698092.52741621</v>
      </c>
      <c r="I6" s="21" t="n">
        <f aca="false">Inputs!$C$8*Inputs!$C$10*I5</f>
        <v>2698092.52741621</v>
      </c>
      <c r="J6" s="21" t="n">
        <f aca="false">Inputs!$C$8*Inputs!$C$10*J5</f>
        <v>2698092.52741621</v>
      </c>
      <c r="K6" s="21" t="n">
        <f aca="false">Inputs!$C$8*Inputs!$C$10*K5</f>
        <v>2698092.52741621</v>
      </c>
      <c r="L6" s="21" t="n">
        <f aca="false">Inputs!$C$8*Inputs!$C$10*L5</f>
        <v>2698092.52741621</v>
      </c>
      <c r="M6" s="21" t="n">
        <f aca="false">Inputs!$C$8*Inputs!$C$10*M5</f>
        <v>2698092.52741621</v>
      </c>
      <c r="N6" s="21" t="n">
        <f aca="false">Inputs!$C$8*Inputs!$C$10*N5</f>
        <v>2698092.52741621</v>
      </c>
      <c r="O6" s="21" t="n">
        <f aca="false">Inputs!$C$8*Inputs!$C$10*O5</f>
        <v>2698092.52741621</v>
      </c>
      <c r="P6" s="21" t="n">
        <f aca="false">Inputs!$C$8*Inputs!$C$10*P5</f>
        <v>2698092.52741621</v>
      </c>
      <c r="Q6" s="21" t="n">
        <f aca="false">Inputs!$C$8*Inputs!$C$10*Q5</f>
        <v>2698092.52741621</v>
      </c>
      <c r="R6" s="21" t="n">
        <f aca="false">Inputs!$C$8*Inputs!$C$10*R5</f>
        <v>2698092.52741621</v>
      </c>
      <c r="S6" s="21" t="n">
        <f aca="false">Inputs!$C$8*Inputs!$C$10*S5</f>
        <v>2698092.52741621</v>
      </c>
      <c r="T6" s="21" t="n">
        <f aca="false">Inputs!$C$8*Inputs!$C$10*T5</f>
        <v>2698092.52741621</v>
      </c>
      <c r="U6" s="21" t="n">
        <f aca="false">Inputs!$C$8*Inputs!$C$10*U5</f>
        <v>2698092.52741621</v>
      </c>
      <c r="V6" s="21" t="n">
        <f aca="false">Inputs!$C$8*Inputs!$C$10*V5</f>
        <v>2698092.52741621</v>
      </c>
      <c r="W6" s="21" t="n">
        <f aca="false">Inputs!$C$8*Inputs!$C$10*W5</f>
        <v>2698092.52741621</v>
      </c>
      <c r="X6" s="21" t="n">
        <f aca="false">Inputs!$C$8*Inputs!$C$10*X5</f>
        <v>2698092.52741621</v>
      </c>
      <c r="Y6" s="21" t="n">
        <f aca="false">Inputs!$C$8*Inputs!$C$10*Y5</f>
        <v>2698092.52741621</v>
      </c>
      <c r="Z6" s="21" t="n">
        <f aca="false">Inputs!$C$8*Inputs!$C$10*Z5</f>
        <v>2698092.52741621</v>
      </c>
      <c r="AA6" s="21" t="n">
        <f aca="false">Inputs!$C$8*Inputs!$C$10*AA5</f>
        <v>2698092.52741621</v>
      </c>
      <c r="AB6" s="21" t="n">
        <f aca="false">Inputs!$C$8*Inputs!$C$10*AB5</f>
        <v>2698092.52741621</v>
      </c>
      <c r="AC6" s="21" t="n">
        <f aca="false">Inputs!$C$8*Inputs!$C$10*AC5</f>
        <v>2698092.52741621</v>
      </c>
      <c r="AD6" s="21" t="n">
        <f aca="false">Inputs!$C$8*Inputs!$C$10*AD5</f>
        <v>2698092.52741621</v>
      </c>
      <c r="AE6" s="21" t="n">
        <f aca="false">Inputs!$C$8*Inputs!$C$10*AE5</f>
        <v>2698092.52741621</v>
      </c>
      <c r="AF6" s="21" t="n">
        <f aca="false">Inputs!$C$8*Inputs!$C$10*AF5</f>
        <v>2698092.52741621</v>
      </c>
      <c r="AG6" s="21" t="n">
        <f aca="false">Inputs!$C$8*Inputs!$C$10*AG5</f>
        <v>2698092.52741621</v>
      </c>
    </row>
    <row r="7" customFormat="false" ht="15" hidden="false" customHeight="false" outlineLevel="0" collapsed="false">
      <c r="A7" s="13" t="s">
        <v>124</v>
      </c>
      <c r="C7" s="21" t="n">
        <f aca="false">Inputs!$C$4*C6</f>
        <v>0</v>
      </c>
      <c r="D7" s="21" t="n">
        <f aca="false">Inputs!$C$4*D6</f>
        <v>3020670.91543457</v>
      </c>
      <c r="E7" s="21" t="n">
        <f aca="false">Inputs!$C$4*E6</f>
        <v>3775838.64429321</v>
      </c>
      <c r="F7" s="21" t="n">
        <f aca="false">Inputs!$C$4*F6</f>
        <v>3775838.64429321</v>
      </c>
      <c r="G7" s="21" t="n">
        <f aca="false">Inputs!$C$4*G6</f>
        <v>3775838.64429321</v>
      </c>
      <c r="H7" s="21" t="n">
        <f aca="false">Inputs!$C$4*H6</f>
        <v>3775838.64429321</v>
      </c>
      <c r="I7" s="21" t="n">
        <f aca="false">Inputs!$C$4*I6</f>
        <v>3775838.64429321</v>
      </c>
      <c r="J7" s="21" t="n">
        <f aca="false">Inputs!$C$4*J6</f>
        <v>3775838.64429321</v>
      </c>
      <c r="K7" s="21" t="n">
        <f aca="false">Inputs!$C$4*K6</f>
        <v>3775838.64429321</v>
      </c>
      <c r="L7" s="21" t="n">
        <f aca="false">Inputs!$C$4*L6</f>
        <v>3775838.64429321</v>
      </c>
      <c r="M7" s="21" t="n">
        <f aca="false">Inputs!$C$4*M6</f>
        <v>3775838.64429321</v>
      </c>
      <c r="N7" s="21" t="n">
        <f aca="false">Inputs!$C$4*N6</f>
        <v>3775838.64429321</v>
      </c>
      <c r="O7" s="21" t="n">
        <f aca="false">Inputs!$C$4*O6</f>
        <v>3775838.64429321</v>
      </c>
      <c r="P7" s="21" t="n">
        <f aca="false">Inputs!$C$4*P6</f>
        <v>3775838.64429321</v>
      </c>
      <c r="Q7" s="21" t="n">
        <f aca="false">Inputs!$C$4*Q6</f>
        <v>3775838.64429321</v>
      </c>
      <c r="R7" s="21" t="n">
        <f aca="false">Inputs!$C$4*R6</f>
        <v>3775838.64429321</v>
      </c>
      <c r="S7" s="21" t="n">
        <f aca="false">Inputs!$C$4*S6</f>
        <v>3775838.64429321</v>
      </c>
      <c r="T7" s="21" t="n">
        <f aca="false">Inputs!$C$4*T6</f>
        <v>3775838.64429321</v>
      </c>
      <c r="U7" s="21" t="n">
        <f aca="false">Inputs!$C$4*U6</f>
        <v>3775838.64429321</v>
      </c>
      <c r="V7" s="21" t="n">
        <f aca="false">Inputs!$C$4*V6</f>
        <v>3775838.64429321</v>
      </c>
      <c r="W7" s="21" t="n">
        <f aca="false">Inputs!$C$4*W6</f>
        <v>3775838.64429321</v>
      </c>
      <c r="X7" s="21" t="n">
        <f aca="false">Inputs!$C$4*X6</f>
        <v>3775838.64429321</v>
      </c>
      <c r="Y7" s="21" t="n">
        <f aca="false">Inputs!$C$4*Y6</f>
        <v>3775838.64429321</v>
      </c>
      <c r="Z7" s="21" t="n">
        <f aca="false">Inputs!$C$4*Z6</f>
        <v>3775838.64429321</v>
      </c>
      <c r="AA7" s="21" t="n">
        <f aca="false">Inputs!$C$4*AA6</f>
        <v>3775838.64429321</v>
      </c>
      <c r="AB7" s="21" t="n">
        <f aca="false">Inputs!$C$4*AB6</f>
        <v>3775838.64429321</v>
      </c>
      <c r="AC7" s="21" t="n">
        <f aca="false">Inputs!$C$4*AC6</f>
        <v>3775838.64429321</v>
      </c>
      <c r="AD7" s="21" t="n">
        <f aca="false">Inputs!$C$4*AD6</f>
        <v>3775838.64429321</v>
      </c>
      <c r="AE7" s="21" t="n">
        <f aca="false">Inputs!$C$4*AE6</f>
        <v>3775838.64429321</v>
      </c>
      <c r="AF7" s="21" t="n">
        <f aca="false">Inputs!$C$4*AF6</f>
        <v>3775838.64429321</v>
      </c>
      <c r="AG7" s="21" t="n">
        <f aca="false">Inputs!$C$4*AG6</f>
        <v>3775838.64429321</v>
      </c>
    </row>
    <row r="8" customFormat="false" ht="15" hidden="false" customHeight="false" outlineLevel="0" collapsed="false">
      <c r="A8" s="13" t="s">
        <v>125</v>
      </c>
      <c r="C8" s="21" t="n">
        <v>0</v>
      </c>
      <c r="D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D6+SUMIF(Inputs!$D$55:$D$72,"sales_commission",Inputs!$C$55:$C$72)/Inputs!$C$75*D7</f>
        <v>1833474.24205089</v>
      </c>
      <c r="E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E6+SUMIF(Inputs!$D$55:$D$72,"sales_commission",Inputs!$C$55:$C$72)/Inputs!$C$75*E7</f>
        <v>1860455.16732506</v>
      </c>
      <c r="F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F6+SUMIF(Inputs!$D$55:$D$72,"sales_commission",Inputs!$C$55:$C$72)/Inputs!$C$75*F7</f>
        <v>1860455.16732506</v>
      </c>
      <c r="G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G6+SUMIF(Inputs!$D$55:$D$72,"sales_commission",Inputs!$C$55:$C$72)/Inputs!$C$75*G7</f>
        <v>1860455.16732506</v>
      </c>
      <c r="H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H6+SUMIF(Inputs!$D$55:$D$72,"sales_commission",Inputs!$C$55:$C$72)/Inputs!$C$75*H7</f>
        <v>1860455.16732506</v>
      </c>
      <c r="I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I6+SUMIF(Inputs!$D$55:$D$72,"sales_commission",Inputs!$C$55:$C$72)/Inputs!$C$75*I7</f>
        <v>1860455.16732506</v>
      </c>
      <c r="J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J6+SUMIF(Inputs!$D$55:$D$72,"sales_commission",Inputs!$C$55:$C$72)/Inputs!$C$75*J7</f>
        <v>1860455.16732506</v>
      </c>
      <c r="K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K6+SUMIF(Inputs!$D$55:$D$72,"sales_commission",Inputs!$C$55:$C$72)/Inputs!$C$75*K7</f>
        <v>1860455.16732506</v>
      </c>
      <c r="L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L6+SUMIF(Inputs!$D$55:$D$72,"sales_commission",Inputs!$C$55:$C$72)/Inputs!$C$75*L7</f>
        <v>1860455.16732506</v>
      </c>
      <c r="M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M6+SUMIF(Inputs!$D$55:$D$72,"sales_commission",Inputs!$C$55:$C$72)/Inputs!$C$75*M7</f>
        <v>1860455.16732506</v>
      </c>
      <c r="N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N6+SUMIF(Inputs!$D$55:$D$72,"sales_commission",Inputs!$C$55:$C$72)/Inputs!$C$75*N7</f>
        <v>1860455.16732506</v>
      </c>
      <c r="O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O6+SUMIF(Inputs!$D$55:$D$72,"sales_commission",Inputs!$C$55:$C$72)/Inputs!$C$75*O7</f>
        <v>1860455.16732506</v>
      </c>
      <c r="P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P6+SUMIF(Inputs!$D$55:$D$72,"sales_commission",Inputs!$C$55:$C$72)/Inputs!$C$75*P7</f>
        <v>1860455.16732506</v>
      </c>
      <c r="Q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Q6+SUMIF(Inputs!$D$55:$D$72,"sales_commission",Inputs!$C$55:$C$72)/Inputs!$C$75*Q7</f>
        <v>1860455.16732506</v>
      </c>
      <c r="R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R6+SUMIF(Inputs!$D$55:$D$72,"sales_commission",Inputs!$C$55:$C$72)/Inputs!$C$75*R7</f>
        <v>1860455.16732506</v>
      </c>
      <c r="S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S6+SUMIF(Inputs!$D$55:$D$72,"sales_commission",Inputs!$C$55:$C$72)/Inputs!$C$75*S7</f>
        <v>1860455.16732506</v>
      </c>
      <c r="T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T6+SUMIF(Inputs!$D$55:$D$72,"sales_commission",Inputs!$C$55:$C$72)/Inputs!$C$75*T7</f>
        <v>1860455.16732506</v>
      </c>
      <c r="U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U6+SUMIF(Inputs!$D$55:$D$72,"sales_commission",Inputs!$C$55:$C$72)/Inputs!$C$75*U7</f>
        <v>1860455.16732506</v>
      </c>
      <c r="V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V6+SUMIF(Inputs!$D$55:$D$72,"sales_commission",Inputs!$C$55:$C$72)/Inputs!$C$75*V7</f>
        <v>1860455.16732506</v>
      </c>
      <c r="W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W6+SUMIF(Inputs!$D$55:$D$72,"sales_commission",Inputs!$C$55:$C$72)/Inputs!$C$75*W7</f>
        <v>1860455.16732506</v>
      </c>
      <c r="X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X6+SUMIF(Inputs!$D$55:$D$72,"sales_commission",Inputs!$C$55:$C$72)/Inputs!$C$75*X7</f>
        <v>1860455.16732506</v>
      </c>
      <c r="Y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Y6+SUMIF(Inputs!$D$55:$D$72,"sales_commission",Inputs!$C$55:$C$72)/Inputs!$C$75*Y7</f>
        <v>1860455.16732506</v>
      </c>
      <c r="Z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Z6+SUMIF(Inputs!$D$55:$D$72,"sales_commission",Inputs!$C$55:$C$72)/Inputs!$C$75*Z7</f>
        <v>1860455.16732506</v>
      </c>
      <c r="AA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AA6+SUMIF(Inputs!$D$55:$D$72,"sales_commission",Inputs!$C$55:$C$72)/Inputs!$C$75*AA7</f>
        <v>1860455.16732506</v>
      </c>
      <c r="AB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AB6+SUMIF(Inputs!$D$55:$D$72,"sales_commission",Inputs!$C$55:$C$72)/Inputs!$C$75*AB7</f>
        <v>1860455.16732506</v>
      </c>
      <c r="AC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AC6+SUMIF(Inputs!$D$55:$D$72,"sales_commission",Inputs!$C$55:$C$72)/Inputs!$C$75*AC7</f>
        <v>1860455.16732506</v>
      </c>
      <c r="AD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AD6+SUMIF(Inputs!$D$55:$D$72,"sales_commission",Inputs!$C$55:$C$72)/Inputs!$C$75*AD7</f>
        <v>1860455.16732506</v>
      </c>
      <c r="AE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AE6+SUMIF(Inputs!$D$55:$D$72,"sales_commission",Inputs!$C$55:$C$72)/Inputs!$C$75*AE7</f>
        <v>1860455.16732506</v>
      </c>
      <c r="AF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AF6+SUMIF(Inputs!$D$55:$D$72,"sales_commission",Inputs!$C$55:$C$72)/Inputs!$C$75*AF7</f>
        <v>1860455.16732506</v>
      </c>
      <c r="AG8" s="21" t="n">
        <f aca="false">SUMIF(Inputs!$D$55:$D$72,"fixed",Inputs!$C$55:$C$72)+SUMIF(Inputs!$D$55:$D$72,"labour",Inputs!$C$55:$C$72)*Inputs!$C$14*((1-Inputs!$C$15)+Inputs!$C$15*Inputs!$C$10)+SUMIF(Inputs!$D$55:$D$72,"elec",Inputs!$C$55:$C$72)*Inputs!$C$12+SUMIF(Inputs!$D$55:$D$72,"co2_purchased",Inputs!$C$55:$C$72)*Inputs!$C$13/0.06+SUMIF(Inputs!$D$55:$D$72,"per_kg",Inputs!$C$55:$C$72)/Inputs!$C$8*AG6+SUMIF(Inputs!$D$55:$D$72,"sales_commission",Inputs!$C$55:$C$72)/Inputs!$C$75*AG7</f>
        <v>1860455.16732506</v>
      </c>
    </row>
    <row r="9" customFormat="false" ht="15" hidden="false" customHeight="false" outlineLevel="0" collapsed="false">
      <c r="A9" s="13" t="s">
        <v>126</v>
      </c>
      <c r="C9" s="21" t="n">
        <f aca="false">Inputs!E79*Inputs!$C$11</f>
        <v>0</v>
      </c>
      <c r="D9" s="21" t="n">
        <f aca="false">Inputs!F79*Inputs!$C$11</f>
        <v>2.3283064365387E-010</v>
      </c>
      <c r="E9" s="21" t="n">
        <f aca="false">Inputs!G79*Inputs!$C$11</f>
        <v>0</v>
      </c>
      <c r="F9" s="21" t="n">
        <f aca="false">Inputs!H79*Inputs!$C$11</f>
        <v>0</v>
      </c>
      <c r="G9" s="21" t="n">
        <f aca="false">Inputs!I79*Inputs!$C$11</f>
        <v>0</v>
      </c>
      <c r="H9" s="21" t="n">
        <f aca="false">Inputs!J79*Inputs!$C$11</f>
        <v>0</v>
      </c>
      <c r="I9" s="21" t="n">
        <f aca="false">Inputs!K79*Inputs!$C$11</f>
        <v>0</v>
      </c>
      <c r="J9" s="21" t="n">
        <f aca="false">Inputs!L79*Inputs!$C$11</f>
        <v>0</v>
      </c>
      <c r="K9" s="21" t="n">
        <f aca="false">Inputs!M79*Inputs!$C$11</f>
        <v>0</v>
      </c>
      <c r="L9" s="21" t="n">
        <f aca="false">Inputs!N79*Inputs!$C$11</f>
        <v>0</v>
      </c>
      <c r="M9" s="21" t="n">
        <f aca="false">Inputs!O79*Inputs!$C$11</f>
        <v>456336.647185443</v>
      </c>
      <c r="N9" s="21" t="n">
        <f aca="false">Inputs!P79*Inputs!$C$11</f>
        <v>0</v>
      </c>
      <c r="O9" s="21" t="n">
        <f aca="false">Inputs!Q79*Inputs!$C$11</f>
        <v>0</v>
      </c>
      <c r="P9" s="21" t="n">
        <f aca="false">Inputs!R79*Inputs!$C$11</f>
        <v>0</v>
      </c>
      <c r="Q9" s="21" t="n">
        <f aca="false">Inputs!S79*Inputs!$C$11</f>
        <v>0</v>
      </c>
      <c r="R9" s="21" t="n">
        <f aca="false">Inputs!T79*Inputs!$C$11</f>
        <v>1036968.89632604</v>
      </c>
      <c r="S9" s="21" t="n">
        <f aca="false">Inputs!U79*Inputs!$C$11</f>
        <v>0</v>
      </c>
      <c r="T9" s="21" t="n">
        <f aca="false">Inputs!V79*Inputs!$C$11</f>
        <v>0</v>
      </c>
      <c r="U9" s="21" t="n">
        <f aca="false">Inputs!W79*Inputs!$C$11</f>
        <v>0</v>
      </c>
      <c r="V9" s="21" t="n">
        <f aca="false">Inputs!X79*Inputs!$C$11</f>
        <v>0</v>
      </c>
      <c r="W9" s="21" t="n">
        <f aca="false">Inputs!Y79*Inputs!$C$11</f>
        <v>859674.714344648</v>
      </c>
      <c r="X9" s="21" t="n">
        <f aca="false">Inputs!Z79*Inputs!$C$11</f>
        <v>0</v>
      </c>
      <c r="Y9" s="21" t="n">
        <f aca="false">Inputs!AA79*Inputs!$C$11</f>
        <v>0</v>
      </c>
      <c r="Z9" s="21" t="n">
        <f aca="false">Inputs!AB79*Inputs!$C$11</f>
        <v>0</v>
      </c>
      <c r="AA9" s="21" t="n">
        <f aca="false">Inputs!AC79*Inputs!$C$11</f>
        <v>0</v>
      </c>
      <c r="AB9" s="21" t="n">
        <f aca="false">Inputs!AD79*Inputs!$C$11</f>
        <v>2345334.63541619</v>
      </c>
      <c r="AC9" s="21" t="n">
        <f aca="false">Inputs!AE79*Inputs!$C$11</f>
        <v>0</v>
      </c>
      <c r="AD9" s="21" t="n">
        <f aca="false">Inputs!AF79*Inputs!$C$11</f>
        <v>0</v>
      </c>
      <c r="AE9" s="21" t="n">
        <f aca="false">Inputs!AG79*Inputs!$C$11</f>
        <v>0</v>
      </c>
      <c r="AF9" s="21" t="n">
        <f aca="false">Inputs!AH79*Inputs!$C$11</f>
        <v>0</v>
      </c>
      <c r="AG9" s="21" t="n">
        <f aca="false">Inputs!AI79*Inputs!$C$11</f>
        <v>0</v>
      </c>
    </row>
    <row r="10" customFormat="false" ht="15" hidden="false" customHeight="false" outlineLevel="0" collapsed="false">
      <c r="A10" s="13" t="s">
        <v>127</v>
      </c>
      <c r="C10" s="21" t="n">
        <f aca="false">-SUM(Inputs!$C$36:$C$52)*Inputs!$C$11</f>
        <v>-11453364.5948659</v>
      </c>
      <c r="D10" s="21" t="n">
        <f aca="false">D7-D8-D9</f>
        <v>1187196.67338367</v>
      </c>
      <c r="E10" s="21" t="n">
        <f aca="false">E7-E8-E9</f>
        <v>1915383.47696816</v>
      </c>
      <c r="F10" s="21" t="n">
        <f aca="false">F7-F8-F9</f>
        <v>1915383.47696816</v>
      </c>
      <c r="G10" s="21" t="n">
        <f aca="false">G7-G8-G9</f>
        <v>1915383.47696816</v>
      </c>
      <c r="H10" s="21" t="n">
        <f aca="false">H7-H8-H9</f>
        <v>1915383.47696816</v>
      </c>
      <c r="I10" s="21" t="n">
        <f aca="false">I7-I8-I9</f>
        <v>1915383.47696816</v>
      </c>
      <c r="J10" s="21" t="n">
        <f aca="false">J7-J8-J9</f>
        <v>1915383.47696816</v>
      </c>
      <c r="K10" s="21" t="n">
        <f aca="false">K7-K8-K9</f>
        <v>1915383.47696816</v>
      </c>
      <c r="L10" s="21" t="n">
        <f aca="false">L7-L8-L9</f>
        <v>1915383.47696816</v>
      </c>
      <c r="M10" s="21" t="n">
        <f aca="false">M7-M8-M9</f>
        <v>1459046.82978271</v>
      </c>
      <c r="N10" s="21" t="n">
        <f aca="false">N7-N8-N9</f>
        <v>1915383.47696816</v>
      </c>
      <c r="O10" s="21" t="n">
        <f aca="false">O7-O8-O9</f>
        <v>1915383.47696816</v>
      </c>
      <c r="P10" s="21" t="n">
        <f aca="false">P7-P8-P9</f>
        <v>1915383.47696816</v>
      </c>
      <c r="Q10" s="21" t="n">
        <f aca="false">Q7-Q8-Q9</f>
        <v>1915383.47696816</v>
      </c>
      <c r="R10" s="21" t="n">
        <f aca="false">R7-R8-R9</f>
        <v>878414.58064212</v>
      </c>
      <c r="S10" s="21" t="n">
        <f aca="false">S7-S8-S9</f>
        <v>1915383.47696816</v>
      </c>
      <c r="T10" s="21" t="n">
        <f aca="false">T7-T8-T9</f>
        <v>1915383.47696816</v>
      </c>
      <c r="U10" s="21" t="n">
        <f aca="false">U7-U8-U9</f>
        <v>1915383.47696816</v>
      </c>
      <c r="V10" s="21" t="n">
        <f aca="false">V7-V8-V9</f>
        <v>1915383.47696816</v>
      </c>
      <c r="W10" s="21" t="n">
        <f aca="false">W7-W8-W9</f>
        <v>1055708.76262351</v>
      </c>
      <c r="X10" s="21" t="n">
        <f aca="false">X7-X8-X9</f>
        <v>1915383.47696816</v>
      </c>
      <c r="Y10" s="21" t="n">
        <f aca="false">Y7-Y8-Y9</f>
        <v>1915383.47696816</v>
      </c>
      <c r="Z10" s="21" t="n">
        <f aca="false">Z7-Z8-Z9</f>
        <v>1915383.47696816</v>
      </c>
      <c r="AA10" s="21" t="n">
        <f aca="false">AA7-AA8-AA9</f>
        <v>1915383.47696816</v>
      </c>
      <c r="AB10" s="21" t="n">
        <f aca="false">AB7-AB8-AB9</f>
        <v>-429951.158448036</v>
      </c>
      <c r="AC10" s="21" t="n">
        <f aca="false">AC7-AC8-AC9</f>
        <v>1915383.47696816</v>
      </c>
      <c r="AD10" s="21" t="n">
        <f aca="false">AD7-AD8-AD9</f>
        <v>1915383.47696816</v>
      </c>
      <c r="AE10" s="21" t="n">
        <f aca="false">AE7-AE8-AE9</f>
        <v>1915383.47696816</v>
      </c>
      <c r="AF10" s="21" t="n">
        <f aca="false">AF7-AF8-AF9</f>
        <v>1915383.47696816</v>
      </c>
      <c r="AG10" s="21" t="n">
        <f aca="false">AG7-AG8-AG9+Inputs!$C$74*Inputs!$C$11</f>
        <v>3993320.21888071</v>
      </c>
    </row>
    <row r="11" customFormat="false" ht="15" hidden="false" customHeight="false" outlineLevel="0" collapsed="false">
      <c r="A11" s="3" t="s">
        <v>128</v>
      </c>
      <c r="C11" s="21" t="n">
        <f aca="false">(C7-C8)*C4</f>
        <v>0</v>
      </c>
      <c r="D11" s="21" t="n">
        <f aca="false">(D7-D8)*D4</f>
        <v>1210940.60685135</v>
      </c>
      <c r="E11" s="21" t="n">
        <f aca="false">(E7-E8)*E4</f>
        <v>1992764.96943767</v>
      </c>
      <c r="F11" s="21" t="n">
        <f aca="false">(F7-F8)*F4</f>
        <v>2032620.26882642</v>
      </c>
      <c r="G11" s="21" t="n">
        <f aca="false">(G7-G8)*G4</f>
        <v>2073272.67420295</v>
      </c>
      <c r="H11" s="21" t="n">
        <f aca="false">(H7-H8)*H4</f>
        <v>2114738.12768701</v>
      </c>
      <c r="I11" s="21" t="n">
        <f aca="false">(I7-I8)*I4</f>
        <v>2157032.89024075</v>
      </c>
      <c r="J11" s="21" t="n">
        <f aca="false">(J7-J8)*J4</f>
        <v>2200173.54804556</v>
      </c>
      <c r="K11" s="21" t="n">
        <f aca="false">(K7-K8)*K4</f>
        <v>2244177.01900648</v>
      </c>
      <c r="L11" s="21" t="n">
        <f aca="false">(L7-L8)*L4</f>
        <v>2289060.55938661</v>
      </c>
      <c r="M11" s="21" t="n">
        <f aca="false">(M7-M8)*M4</f>
        <v>2334841.77057434</v>
      </c>
      <c r="N11" s="21" t="n">
        <f aca="false">(N7-N8)*N4</f>
        <v>2381538.60598582</v>
      </c>
      <c r="O11" s="21" t="n">
        <f aca="false">(O7-O8)*O4</f>
        <v>2429169.37810554</v>
      </c>
      <c r="P11" s="21" t="n">
        <f aca="false">(P7-P8)*P4</f>
        <v>2477752.76566765</v>
      </c>
      <c r="Q11" s="21" t="n">
        <f aca="false">(Q7-Q8)*Q4</f>
        <v>2527307.820981</v>
      </c>
      <c r="R11" s="21" t="n">
        <f aca="false">(R7-R8)*R4</f>
        <v>2577853.97740063</v>
      </c>
      <c r="S11" s="21" t="n">
        <f aca="false">(S7-S8)*S4</f>
        <v>2629411.05694864</v>
      </c>
      <c r="T11" s="21" t="n">
        <f aca="false">(T7-T8)*T4</f>
        <v>2681999.27808761</v>
      </c>
      <c r="U11" s="21" t="n">
        <f aca="false">(U7-U8)*U4</f>
        <v>2735639.26364936</v>
      </c>
      <c r="V11" s="21" t="n">
        <f aca="false">(V7-V8)*V4</f>
        <v>2790352.04892235</v>
      </c>
      <c r="W11" s="21" t="n">
        <f aca="false">(W7-W8)*W4</f>
        <v>2846159.0899008</v>
      </c>
      <c r="X11" s="21" t="n">
        <f aca="false">(X7-X8)*X4</f>
        <v>2903082.27169881</v>
      </c>
      <c r="Y11" s="21" t="n">
        <f aca="false">(Y7-Y8)*Y4</f>
        <v>2961143.91713279</v>
      </c>
      <c r="Z11" s="21" t="n">
        <f aca="false">(Z7-Z8)*Z4</f>
        <v>3020366.79547545</v>
      </c>
      <c r="AA11" s="21" t="n">
        <f aca="false">(AA7-AA8)*AA4</f>
        <v>3080774.13138495</v>
      </c>
      <c r="AB11" s="21" t="n">
        <f aca="false">(AB7-AB8)*AB4</f>
        <v>3142389.61401265</v>
      </c>
      <c r="AC11" s="21" t="n">
        <f aca="false">(AC7-AC8)*AC4</f>
        <v>3205237.40629291</v>
      </c>
      <c r="AD11" s="21" t="n">
        <f aca="false">(AD7-AD8)*AD4</f>
        <v>3269342.15441876</v>
      </c>
      <c r="AE11" s="21" t="n">
        <f aca="false">(AE7-AE8)*AE4</f>
        <v>3334728.99750714</v>
      </c>
      <c r="AF11" s="21" t="n">
        <f aca="false">(AF7-AF8)*AF4</f>
        <v>3401423.57745728</v>
      </c>
      <c r="AG11" s="21" t="n">
        <f aca="false">(AG7-AG8)*AG4</f>
        <v>3469452.04900643</v>
      </c>
    </row>
    <row r="12" customFormat="false" ht="15" hidden="false" customHeight="false" outlineLevel="0" collapsed="false">
      <c r="A12" s="13" t="s">
        <v>129</v>
      </c>
      <c r="C12" s="21" t="n">
        <f aca="false">C8*C4</f>
        <v>0</v>
      </c>
      <c r="D12" s="21" t="n">
        <f aca="false">D8*D4</f>
        <v>1870143.72689191</v>
      </c>
      <c r="E12" s="21" t="n">
        <f aca="false">E8*E4</f>
        <v>1935617.55608499</v>
      </c>
      <c r="F12" s="21" t="n">
        <f aca="false">F8*F4</f>
        <v>1974329.90720669</v>
      </c>
      <c r="G12" s="21" t="n">
        <f aca="false">G8*G4</f>
        <v>2013816.50535082</v>
      </c>
      <c r="H12" s="21" t="n">
        <f aca="false">H8*H4</f>
        <v>2054092.83545784</v>
      </c>
      <c r="I12" s="21" t="n">
        <f aca="false">I8*I4</f>
        <v>2095174.692167</v>
      </c>
      <c r="J12" s="21" t="n">
        <f aca="false">J8*J4</f>
        <v>2137078.18601034</v>
      </c>
      <c r="K12" s="21" t="n">
        <f aca="false">K8*K4</f>
        <v>2179819.74973054</v>
      </c>
      <c r="L12" s="21" t="n">
        <f aca="false">L8*L4</f>
        <v>2223416.14472515</v>
      </c>
      <c r="M12" s="21" t="n">
        <f aca="false">M8*M4</f>
        <v>2267884.46761966</v>
      </c>
      <c r="N12" s="21" t="n">
        <f aca="false">N8*N4</f>
        <v>2313242.15697205</v>
      </c>
      <c r="O12" s="21" t="n">
        <f aca="false">O8*O4</f>
        <v>2359507.00011149</v>
      </c>
      <c r="P12" s="21" t="n">
        <f aca="false">P8*P4</f>
        <v>2406697.14011372</v>
      </c>
      <c r="Q12" s="21" t="n">
        <f aca="false">Q8*Q4</f>
        <v>2454831.082916</v>
      </c>
      <c r="R12" s="21" t="n">
        <f aca="false">R8*R4</f>
        <v>2503927.70457432</v>
      </c>
      <c r="S12" s="21" t="n">
        <f aca="false">S8*S4</f>
        <v>2554006.2586658</v>
      </c>
      <c r="T12" s="21" t="n">
        <f aca="false">T8*T4</f>
        <v>2605086.38383912</v>
      </c>
      <c r="U12" s="21" t="n">
        <f aca="false">U8*U4</f>
        <v>2657188.1115159</v>
      </c>
      <c r="V12" s="21" t="n">
        <f aca="false">V8*V4</f>
        <v>2710331.87374622</v>
      </c>
      <c r="W12" s="21" t="n">
        <f aca="false">W8*W4</f>
        <v>2764538.51122114</v>
      </c>
      <c r="X12" s="21" t="n">
        <f aca="false">X8*X4</f>
        <v>2819829.28144557</v>
      </c>
      <c r="Y12" s="21" t="n">
        <f aca="false">Y8*Y4</f>
        <v>2876225.86707448</v>
      </c>
      <c r="Z12" s="21" t="n">
        <f aca="false">Z8*Z4</f>
        <v>2933750.38441597</v>
      </c>
      <c r="AA12" s="21" t="n">
        <f aca="false">AA8*AA4</f>
        <v>2992425.39210429</v>
      </c>
      <c r="AB12" s="21" t="n">
        <f aca="false">AB8*AB4</f>
        <v>3052273.89994637</v>
      </c>
      <c r="AC12" s="21" t="n">
        <f aca="false">AC8*AC4</f>
        <v>3113319.3779453</v>
      </c>
      <c r="AD12" s="21" t="n">
        <f aca="false">AD8*AD4</f>
        <v>3175585.76550421</v>
      </c>
      <c r="AE12" s="21" t="n">
        <f aca="false">AE8*AE4</f>
        <v>3239097.48081429</v>
      </c>
      <c r="AF12" s="21" t="n">
        <f aca="false">AF8*AF4</f>
        <v>3303879.43043058</v>
      </c>
      <c r="AG12" s="21" t="n">
        <f aca="false">AG8*AG4</f>
        <v>3369957.01903919</v>
      </c>
    </row>
    <row r="13" customFormat="false" ht="15" hidden="false" customHeight="false" outlineLevel="0" collapsed="false">
      <c r="A13" s="13" t="s">
        <v>130</v>
      </c>
      <c r="C13" s="21" t="n">
        <f aca="false">C9*C4</f>
        <v>0</v>
      </c>
      <c r="D13" s="21" t="n">
        <f aca="false">D9*D4</f>
        <v>2.37487256526947E-010</v>
      </c>
      <c r="E13" s="21" t="n">
        <f aca="false">E9*E4</f>
        <v>0</v>
      </c>
      <c r="F13" s="21" t="n">
        <f aca="false">F9*F4</f>
        <v>0</v>
      </c>
      <c r="G13" s="21" t="n">
        <f aca="false">G9*G4</f>
        <v>0</v>
      </c>
      <c r="H13" s="21" t="n">
        <f aca="false">H9*H4</f>
        <v>0</v>
      </c>
      <c r="I13" s="21" t="n">
        <f aca="false">I9*I4</f>
        <v>0</v>
      </c>
      <c r="J13" s="21" t="n">
        <f aca="false">J9*J4</f>
        <v>0</v>
      </c>
      <c r="K13" s="21" t="n">
        <f aca="false">K9*K4</f>
        <v>0</v>
      </c>
      <c r="L13" s="21" t="n">
        <f aca="false">L9*L4</f>
        <v>0</v>
      </c>
      <c r="M13" s="21" t="n">
        <f aca="false">M9*M4</f>
        <v>556271.826558172</v>
      </c>
      <c r="N13" s="21" t="n">
        <f aca="false">N9*N4</f>
        <v>0</v>
      </c>
      <c r="O13" s="21" t="n">
        <f aca="false">O9*O4</f>
        <v>0</v>
      </c>
      <c r="P13" s="21" t="n">
        <f aca="false">P9*P4</f>
        <v>0</v>
      </c>
      <c r="Q13" s="21" t="n">
        <f aca="false">Q9*Q4</f>
        <v>0</v>
      </c>
      <c r="R13" s="21" t="n">
        <f aca="false">R9*R4</f>
        <v>1395623.60539213</v>
      </c>
      <c r="S13" s="21" t="n">
        <f aca="false">S9*S4</f>
        <v>0</v>
      </c>
      <c r="T13" s="21" t="n">
        <f aca="false">T9*T4</f>
        <v>0</v>
      </c>
      <c r="U13" s="21" t="n">
        <f aca="false">U9*U4</f>
        <v>0</v>
      </c>
      <c r="V13" s="21" t="n">
        <f aca="false">V9*V4</f>
        <v>0</v>
      </c>
      <c r="W13" s="21" t="n">
        <f aca="false">W9*W4</f>
        <v>1277431.40316887</v>
      </c>
      <c r="X13" s="21" t="n">
        <f aca="false">X9*X4</f>
        <v>0</v>
      </c>
      <c r="Y13" s="21" t="n">
        <f aca="false">Y9*Y4</f>
        <v>0</v>
      </c>
      <c r="Z13" s="21" t="n">
        <f aca="false">Z9*Z4</f>
        <v>0</v>
      </c>
      <c r="AA13" s="21" t="n">
        <f aca="false">AA9*AA4</f>
        <v>0</v>
      </c>
      <c r="AB13" s="21" t="n">
        <f aca="false">AB9*AB4</f>
        <v>3847770.06188956</v>
      </c>
      <c r="AC13" s="21" t="n">
        <f aca="false">AC9*AC4</f>
        <v>0</v>
      </c>
      <c r="AD13" s="21" t="n">
        <f aca="false">AD9*AD4</f>
        <v>0</v>
      </c>
      <c r="AE13" s="21" t="n">
        <f aca="false">AE9*AE4</f>
        <v>0</v>
      </c>
      <c r="AF13" s="21" t="n">
        <f aca="false">AF9*AF4</f>
        <v>0</v>
      </c>
      <c r="AG13" s="21" t="n">
        <f aca="false">AG9*AG4</f>
        <v>0</v>
      </c>
    </row>
    <row r="14" customFormat="false" ht="15" hidden="false" customHeight="false" outlineLevel="0" collapsed="false">
      <c r="A14" s="13" t="s">
        <v>131</v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f aca="false">Inputs!$C$74*Inputs!$C$11*AG4</f>
        <v>3763894.78849729</v>
      </c>
    </row>
    <row r="15" customFormat="false" ht="15" hidden="false" customHeight="false" outlineLevel="0" collapsed="false">
      <c r="A15" s="13" t="s">
        <v>132</v>
      </c>
      <c r="C15" s="21" t="n">
        <f aca="false">SUMIF(Inputs!$D$36:$D$52,"special",Inputs!$C$36:$C$52)*Inputs!$C$11*(1+SUMIF(Inputs!$D$36:$D$52,"contingency",Inputs!$C$36:$C$52)*Inputs!$C$11/(SUMIF(Inputs!$D$36:$D$52,"main",Inputs!$C$36:$C$52)*Inputs!$C$11+SUMIF(Inputs!$D$36:$D$52,"special",Inputs!$C$36:$C$52)*Inputs!$C$11))*(1-Inputs!$C$26/(SUMIF(Inputs!$D$36:$D$52,"main",Inputs!$C$36:$C$52)*Inputs!$C$11+SUMIF(Inputs!$D$36:$D$52,"special",Inputs!$C$36:$C$52)*Inputs!$C$11+SUMIF(Inputs!$D$36:$D$52,"contingency",Inputs!$C$36:$C$52)*Inputs!$C$11))</f>
        <v>5364026.7669703</v>
      </c>
      <c r="D15" s="21" t="n">
        <f aca="false">D13</f>
        <v>2.37487256526947E-010</v>
      </c>
      <c r="E15" s="21" t="n">
        <f aca="false">E13</f>
        <v>0</v>
      </c>
      <c r="F15" s="21" t="n">
        <f aca="false">F13</f>
        <v>0</v>
      </c>
      <c r="G15" s="21" t="n">
        <f aca="false">G13</f>
        <v>0</v>
      </c>
      <c r="H15" s="21" t="n">
        <f aca="false">H13</f>
        <v>0</v>
      </c>
      <c r="I15" s="21" t="n">
        <f aca="false">I13</f>
        <v>0</v>
      </c>
      <c r="J15" s="21" t="n">
        <f aca="false">J13</f>
        <v>0</v>
      </c>
      <c r="K15" s="21" t="n">
        <f aca="false">K13</f>
        <v>0</v>
      </c>
      <c r="L15" s="21" t="n">
        <f aca="false">L13</f>
        <v>0</v>
      </c>
      <c r="M15" s="21" t="n">
        <f aca="false">M13</f>
        <v>556271.826558172</v>
      </c>
      <c r="N15" s="21" t="n">
        <f aca="false">N13</f>
        <v>0</v>
      </c>
      <c r="O15" s="21" t="n">
        <f aca="false">O13</f>
        <v>0</v>
      </c>
      <c r="P15" s="21" t="n">
        <f aca="false">P13</f>
        <v>0</v>
      </c>
      <c r="Q15" s="21" t="n">
        <f aca="false">Q13</f>
        <v>0</v>
      </c>
      <c r="R15" s="21" t="n">
        <f aca="false">R13</f>
        <v>1395623.60539213</v>
      </c>
      <c r="S15" s="21" t="n">
        <f aca="false">S13</f>
        <v>0</v>
      </c>
      <c r="T15" s="21" t="n">
        <f aca="false">T13</f>
        <v>0</v>
      </c>
      <c r="U15" s="21" t="n">
        <f aca="false">U13</f>
        <v>0</v>
      </c>
      <c r="V15" s="21" t="n">
        <f aca="false">V13</f>
        <v>0</v>
      </c>
      <c r="W15" s="21" t="n">
        <f aca="false">W13</f>
        <v>1277431.40316887</v>
      </c>
      <c r="X15" s="21" t="n">
        <f aca="false">X13</f>
        <v>0</v>
      </c>
      <c r="Y15" s="21" t="n">
        <f aca="false">Y13</f>
        <v>0</v>
      </c>
      <c r="Z15" s="21" t="n">
        <f aca="false">Z13</f>
        <v>0</v>
      </c>
      <c r="AA15" s="21" t="n">
        <f aca="false">AA13</f>
        <v>0</v>
      </c>
      <c r="AB15" s="21" t="n">
        <f aca="false">AB13</f>
        <v>3847770.06188956</v>
      </c>
      <c r="AC15" s="21" t="n">
        <f aca="false">AC13</f>
        <v>0</v>
      </c>
      <c r="AD15" s="21" t="n">
        <f aca="false">AD13</f>
        <v>0</v>
      </c>
      <c r="AE15" s="21" t="n">
        <f aca="false">AE13</f>
        <v>0</v>
      </c>
      <c r="AF15" s="21" t="n">
        <f aca="false">AF13</f>
        <v>0</v>
      </c>
      <c r="AG15" s="21" t="n">
        <f aca="false">AG13</f>
        <v>0</v>
      </c>
    </row>
    <row r="16" customFormat="false" ht="15" hidden="false" customHeight="false" outlineLevel="0" collapsed="false">
      <c r="A16" s="13" t="s">
        <v>133</v>
      </c>
      <c r="C16" s="21" t="n">
        <f aca="false">Inputs!$C$32*C15</f>
        <v>2682013.38348515</v>
      </c>
      <c r="D16" s="21" t="n">
        <f aca="false">Inputs!$C$32*D15</f>
        <v>1.18743628263473E-010</v>
      </c>
      <c r="E16" s="21" t="n">
        <f aca="false">Inputs!$C$32*E15</f>
        <v>0</v>
      </c>
      <c r="F16" s="21" t="n">
        <f aca="false">Inputs!$C$32*F15</f>
        <v>0</v>
      </c>
      <c r="G16" s="21" t="n">
        <f aca="false">Inputs!$C$32*G15</f>
        <v>0</v>
      </c>
      <c r="H16" s="21" t="n">
        <f aca="false">Inputs!$C$32*H15</f>
        <v>0</v>
      </c>
      <c r="I16" s="21" t="n">
        <f aca="false">Inputs!$C$32*I15</f>
        <v>0</v>
      </c>
      <c r="J16" s="21" t="n">
        <f aca="false">Inputs!$C$32*J15</f>
        <v>0</v>
      </c>
      <c r="K16" s="21" t="n">
        <f aca="false">Inputs!$C$32*K15</f>
        <v>0</v>
      </c>
      <c r="L16" s="21" t="n">
        <f aca="false">Inputs!$C$32*L15</f>
        <v>0</v>
      </c>
      <c r="M16" s="21" t="n">
        <f aca="false">Inputs!$C$32*M15</f>
        <v>278135.913279086</v>
      </c>
      <c r="N16" s="21" t="n">
        <f aca="false">Inputs!$C$32*N15</f>
        <v>0</v>
      </c>
      <c r="O16" s="21" t="n">
        <f aca="false">Inputs!$C$32*O15</f>
        <v>0</v>
      </c>
      <c r="P16" s="21" t="n">
        <f aca="false">Inputs!$C$32*P15</f>
        <v>0</v>
      </c>
      <c r="Q16" s="21" t="n">
        <f aca="false">Inputs!$C$32*Q15</f>
        <v>0</v>
      </c>
      <c r="R16" s="21" t="n">
        <f aca="false">Inputs!$C$32*R15</f>
        <v>697811.802696064</v>
      </c>
      <c r="S16" s="21" t="n">
        <f aca="false">Inputs!$C$32*S15</f>
        <v>0</v>
      </c>
      <c r="T16" s="21" t="n">
        <f aca="false">Inputs!$C$32*T15</f>
        <v>0</v>
      </c>
      <c r="U16" s="21" t="n">
        <f aca="false">Inputs!$C$32*U15</f>
        <v>0</v>
      </c>
      <c r="V16" s="21" t="n">
        <f aca="false">Inputs!$C$32*V15</f>
        <v>0</v>
      </c>
      <c r="W16" s="21" t="n">
        <f aca="false">Inputs!$C$32*W15</f>
        <v>638715.701584433</v>
      </c>
      <c r="X16" s="21" t="n">
        <f aca="false">Inputs!$C$32*X15</f>
        <v>0</v>
      </c>
      <c r="Y16" s="21" t="n">
        <f aca="false">Inputs!$C$32*Y15</f>
        <v>0</v>
      </c>
      <c r="Z16" s="21" t="n">
        <f aca="false">Inputs!$C$32*Z15</f>
        <v>0</v>
      </c>
      <c r="AA16" s="21" t="n">
        <f aca="false">Inputs!$C$32*AA15</f>
        <v>0</v>
      </c>
      <c r="AB16" s="21" t="n">
        <f aca="false">Inputs!$C$32*AB15</f>
        <v>1923885.03094478</v>
      </c>
      <c r="AC16" s="21" t="n">
        <f aca="false">Inputs!$C$32*AC15</f>
        <v>0</v>
      </c>
      <c r="AD16" s="21" t="n">
        <f aca="false">Inputs!$C$32*AD15</f>
        <v>0</v>
      </c>
      <c r="AE16" s="21" t="n">
        <f aca="false">Inputs!$C$32*AE15</f>
        <v>0</v>
      </c>
      <c r="AF16" s="21" t="n">
        <f aca="false">Inputs!$C$32*AF15</f>
        <v>0</v>
      </c>
      <c r="AG16" s="21" t="n">
        <f aca="false">Inputs!$C$32*AG15</f>
        <v>0</v>
      </c>
    </row>
    <row r="17" customFormat="false" ht="15" hidden="false" customHeight="false" outlineLevel="0" collapsed="false">
      <c r="A17" s="13" t="s">
        <v>134</v>
      </c>
      <c r="C17" s="21" t="n">
        <f aca="false">Inputs!$C$33*(0+C15-C16)</f>
        <v>160920.803009109</v>
      </c>
      <c r="D17" s="21" t="n">
        <f aca="false">Inputs!$C$33*(C18+D15-D16)</f>
        <v>151265.554828563</v>
      </c>
      <c r="E17" s="21" t="n">
        <f aca="false">Inputs!$C$33*(D18+E15-E16)</f>
        <v>142189.621538849</v>
      </c>
      <c r="F17" s="21" t="n">
        <f aca="false">Inputs!$C$33*(E18+F15-F16)</f>
        <v>133658.244246518</v>
      </c>
      <c r="G17" s="21" t="n">
        <f aca="false">Inputs!$C$33*(F18+G15-G16)</f>
        <v>125638.749591727</v>
      </c>
      <c r="H17" s="21" t="n">
        <f aca="false">Inputs!$C$33*(G18+H15-H16)</f>
        <v>118100.424616223</v>
      </c>
      <c r="I17" s="21" t="n">
        <f aca="false">Inputs!$C$33*(H18+I15-I16)</f>
        <v>111014.39913925</v>
      </c>
      <c r="J17" s="21" t="n">
        <f aca="false">Inputs!$C$33*(I18+J15-J16)</f>
        <v>104353.535190895</v>
      </c>
      <c r="K17" s="21" t="n">
        <f aca="false">Inputs!$C$33*(J18+K15-K16)</f>
        <v>98092.3230794412</v>
      </c>
      <c r="L17" s="21" t="n">
        <f aca="false">Inputs!$C$33*(K18+L15-L16)</f>
        <v>92206.7836946747</v>
      </c>
      <c r="M17" s="21" t="n">
        <f aca="false">Inputs!$C$33*(L18+M15-M16)</f>
        <v>103362.531469739</v>
      </c>
      <c r="N17" s="21" t="n">
        <f aca="false">Inputs!$C$33*(M18+N15-N16)</f>
        <v>97160.779581555</v>
      </c>
      <c r="O17" s="21" t="n">
        <f aca="false">Inputs!$C$33*(N18+O15-O16)</f>
        <v>91331.1328066617</v>
      </c>
      <c r="P17" s="21" t="n">
        <f aca="false">Inputs!$C$33*(O18+P15-P16)</f>
        <v>85851.264838262</v>
      </c>
      <c r="Q17" s="21" t="n">
        <f aca="false">Inputs!$C$33*(P18+Q15-Q16)</f>
        <v>80700.1889479663</v>
      </c>
      <c r="R17" s="21" t="n">
        <f aca="false">Inputs!$C$33*(Q18+R15-R16)</f>
        <v>117726.885772852</v>
      </c>
      <c r="S17" s="21" t="n">
        <f aca="false">Inputs!$C$33*(R18+S15-S16)</f>
        <v>110663.272626481</v>
      </c>
      <c r="T17" s="21" t="n">
        <f aca="false">Inputs!$C$33*(S18+T15-T16)</f>
        <v>104023.476268892</v>
      </c>
      <c r="U17" s="21" t="n">
        <f aca="false">Inputs!$C$33*(T18+U15-U16)</f>
        <v>97782.0676927586</v>
      </c>
      <c r="V17" s="21" t="n">
        <f aca="false">Inputs!$C$33*(U18+V15-V16)</f>
        <v>91915.1436311931</v>
      </c>
      <c r="W17" s="21" t="n">
        <f aca="false">Inputs!$C$33*(V18+W15-W16)</f>
        <v>124723.177108387</v>
      </c>
      <c r="X17" s="21" t="n">
        <f aca="false">Inputs!$C$33*(W18+X15-X16)</f>
        <v>117239.786481884</v>
      </c>
      <c r="Y17" s="21" t="n">
        <f aca="false">Inputs!$C$33*(X18+Y15-Y16)</f>
        <v>110205.399292971</v>
      </c>
      <c r="Z17" s="21" t="n">
        <f aca="false">Inputs!$C$33*(Y18+Z15-Z16)</f>
        <v>103593.075335393</v>
      </c>
      <c r="AA17" s="21" t="n">
        <f aca="false">Inputs!$C$33*(Z18+AA15-AA16)</f>
        <v>97377.4908152693</v>
      </c>
      <c r="AB17" s="21" t="n">
        <f aca="false">Inputs!$C$33*(AA18+AB15-AB16)</f>
        <v>206967.94322304</v>
      </c>
      <c r="AC17" s="21" t="n">
        <f aca="false">Inputs!$C$33*(AB18+AC15-AC16)</f>
        <v>194549.866629657</v>
      </c>
      <c r="AD17" s="21" t="n">
        <f aca="false">Inputs!$C$33*(AC18+AD15-AD16)</f>
        <v>182876.874631878</v>
      </c>
      <c r="AE17" s="21" t="n">
        <f aca="false">Inputs!$C$33*(AD18+AE15-AE16)</f>
        <v>171904.262153965</v>
      </c>
      <c r="AF17" s="21" t="n">
        <f aca="false">Inputs!$C$33*(AE18+AF15-AF16)</f>
        <v>161590.006424727</v>
      </c>
      <c r="AG17" s="21" t="n">
        <f aca="false">Inputs!$C$33*(AF18+AG15-AG16)</f>
        <v>151894.606039244</v>
      </c>
    </row>
    <row r="18" customFormat="false" ht="15" hidden="false" customHeight="false" outlineLevel="0" collapsed="false">
      <c r="A18" s="13" t="s">
        <v>135</v>
      </c>
      <c r="C18" s="21" t="n">
        <f aca="false">0+C15-C16-C17</f>
        <v>2521092.58047604</v>
      </c>
      <c r="D18" s="21" t="n">
        <f aca="false">C18+D15-D16-D17</f>
        <v>2369827.02564748</v>
      </c>
      <c r="E18" s="21" t="n">
        <f aca="false">D18+E15-E16-E17</f>
        <v>2227637.40410863</v>
      </c>
      <c r="F18" s="21" t="n">
        <f aca="false">E18+F15-F16-F17</f>
        <v>2093979.15986211</v>
      </c>
      <c r="G18" s="21" t="n">
        <f aca="false">F18+G15-G16-G17</f>
        <v>1968340.41027039</v>
      </c>
      <c r="H18" s="21" t="n">
        <f aca="false">G18+H15-H16-H17</f>
        <v>1850239.98565416</v>
      </c>
      <c r="I18" s="21" t="n">
        <f aca="false">H18+I15-I16-I17</f>
        <v>1739225.58651491</v>
      </c>
      <c r="J18" s="21" t="n">
        <f aca="false">I18+J15-J16-J17</f>
        <v>1634872.05132402</v>
      </c>
      <c r="K18" s="21" t="n">
        <f aca="false">J18+K15-K16-K17</f>
        <v>1536779.72824458</v>
      </c>
      <c r="L18" s="21" t="n">
        <f aca="false">K18+L15-L16-L17</f>
        <v>1444572.9445499</v>
      </c>
      <c r="M18" s="21" t="n">
        <f aca="false">L18+M15-M16-M17</f>
        <v>1619346.32635925</v>
      </c>
      <c r="N18" s="21" t="n">
        <f aca="false">M18+N15-N16-N17</f>
        <v>1522185.5467777</v>
      </c>
      <c r="O18" s="21" t="n">
        <f aca="false">N18+O15-O16-O17</f>
        <v>1430854.41397103</v>
      </c>
      <c r="P18" s="21" t="n">
        <f aca="false">O18+P15-P16-P17</f>
        <v>1345003.14913277</v>
      </c>
      <c r="Q18" s="21" t="n">
        <f aca="false">P18+Q15-Q16-Q17</f>
        <v>1264302.9601848</v>
      </c>
      <c r="R18" s="21" t="n">
        <f aca="false">Q18+R15-R16-R17</f>
        <v>1844387.87710802</v>
      </c>
      <c r="S18" s="21" t="n">
        <f aca="false">R18+S15-S16-S17</f>
        <v>1733724.60448154</v>
      </c>
      <c r="T18" s="21" t="n">
        <f aca="false">S18+T15-T16-T17</f>
        <v>1629701.12821264</v>
      </c>
      <c r="U18" s="21" t="n">
        <f aca="false">T18+U15-U16-U17</f>
        <v>1531919.06051988</v>
      </c>
      <c r="V18" s="21" t="n">
        <f aca="false">U18+V15-V16-V17</f>
        <v>1440003.91688869</v>
      </c>
      <c r="W18" s="21" t="n">
        <f aca="false">V18+W15-W16-W17</f>
        <v>1953996.44136474</v>
      </c>
      <c r="X18" s="21" t="n">
        <f aca="false">W18+X15-X16-X17</f>
        <v>1836756.65488285</v>
      </c>
      <c r="Y18" s="21" t="n">
        <f aca="false">X18+Y15-Y16-Y17</f>
        <v>1726551.25558988</v>
      </c>
      <c r="Z18" s="21" t="n">
        <f aca="false">Y18+Z15-Z16-Z17</f>
        <v>1622958.18025449</v>
      </c>
      <c r="AA18" s="21" t="n">
        <f aca="false">Z18+AA15-AA16-AA17</f>
        <v>1525580.68943922</v>
      </c>
      <c r="AB18" s="21" t="n">
        <f aca="false">AA18+AB15-AB16-AB17</f>
        <v>3242497.77716096</v>
      </c>
      <c r="AC18" s="21" t="n">
        <f aca="false">AB18+AC15-AC16-AC17</f>
        <v>3047947.9105313</v>
      </c>
      <c r="AD18" s="21" t="n">
        <f aca="false">AC18+AD15-AD16-AD17</f>
        <v>2865071.03589942</v>
      </c>
      <c r="AE18" s="21" t="n">
        <f aca="false">AD18+AE15-AE16-AE17</f>
        <v>2693166.77374546</v>
      </c>
      <c r="AF18" s="21" t="n">
        <f aca="false">AE18+AF15-AF16-AF17</f>
        <v>2531576.76732073</v>
      </c>
      <c r="AG18" s="21" t="n">
        <f aca="false">AF18+AG15-AG16-AG17</f>
        <v>2379682.16128149</v>
      </c>
    </row>
    <row r="19" customFormat="false" ht="15" hidden="false" customHeight="false" outlineLevel="0" collapsed="false">
      <c r="A19" s="13" t="s">
        <v>136</v>
      </c>
      <c r="C19" s="21" t="n">
        <f aca="false">(SUMIF(Inputs!$D$36:$D$52,"main",Inputs!$C$36:$C$52)*Inputs!$C$11+SUMIF(Inputs!$D$36:$D$52,"special",Inputs!$C$36:$C$52)*Inputs!$C$11+SUMIF(Inputs!$D$36:$D$52,"contingency",Inputs!$C$36:$C$52)*Inputs!$C$11)*(1-Inputs!$C$26/(SUMIF(Inputs!$D$36:$D$52,"main",Inputs!$C$36:$C$52)*Inputs!$C$11+SUMIF(Inputs!$D$36:$D$52,"special",Inputs!$C$36:$C$52)*Inputs!$C$11+SUMIF(Inputs!$D$36:$D$52,"contingency",Inputs!$C$36:$C$52)*Inputs!$C$11))-C15+C16+C17</f>
        <v>7800399.64070004</v>
      </c>
      <c r="D19" s="21" t="n">
        <f aca="false">D16+D17</f>
        <v>151265.554828563</v>
      </c>
      <c r="E19" s="21" t="n">
        <f aca="false">E16+E17</f>
        <v>142189.621538849</v>
      </c>
      <c r="F19" s="21" t="n">
        <f aca="false">F16+F17</f>
        <v>133658.244246518</v>
      </c>
      <c r="G19" s="21" t="n">
        <f aca="false">G16+G17</f>
        <v>125638.749591727</v>
      </c>
      <c r="H19" s="21" t="n">
        <f aca="false">H16+H17</f>
        <v>118100.424616223</v>
      </c>
      <c r="I19" s="21" t="n">
        <f aca="false">I16+I17</f>
        <v>111014.39913925</v>
      </c>
      <c r="J19" s="21" t="n">
        <f aca="false">J16+J17</f>
        <v>104353.535190895</v>
      </c>
      <c r="K19" s="21" t="n">
        <f aca="false">K16+K17</f>
        <v>98092.3230794412</v>
      </c>
      <c r="L19" s="21" t="n">
        <f aca="false">L16+L17</f>
        <v>92206.7836946747</v>
      </c>
      <c r="M19" s="21" t="n">
        <f aca="false">M16+M17</f>
        <v>381498.444748825</v>
      </c>
      <c r="N19" s="21" t="n">
        <f aca="false">N16+N17</f>
        <v>97160.779581555</v>
      </c>
      <c r="O19" s="21" t="n">
        <f aca="false">O16+O17</f>
        <v>91331.1328066617</v>
      </c>
      <c r="P19" s="21" t="n">
        <f aca="false">P16+P17</f>
        <v>85851.264838262</v>
      </c>
      <c r="Q19" s="21" t="n">
        <f aca="false">Q16+Q17</f>
        <v>80700.1889479663</v>
      </c>
      <c r="R19" s="21" t="n">
        <f aca="false">R16+R17</f>
        <v>815538.688468916</v>
      </c>
      <c r="S19" s="21" t="n">
        <f aca="false">S16+S17</f>
        <v>110663.272626481</v>
      </c>
      <c r="T19" s="21" t="n">
        <f aca="false">T16+T17</f>
        <v>104023.476268892</v>
      </c>
      <c r="U19" s="21" t="n">
        <f aca="false">U16+U17</f>
        <v>97782.0676927586</v>
      </c>
      <c r="V19" s="21" t="n">
        <f aca="false">V16+V17</f>
        <v>91915.1436311931</v>
      </c>
      <c r="W19" s="21" t="n">
        <f aca="false">W16+W17</f>
        <v>763438.87869282</v>
      </c>
      <c r="X19" s="21" t="n">
        <f aca="false">X16+X17</f>
        <v>117239.786481884</v>
      </c>
      <c r="Y19" s="21" t="n">
        <f aca="false">Y16+Y17</f>
        <v>110205.399292971</v>
      </c>
      <c r="Z19" s="21" t="n">
        <f aca="false">Z16+Z17</f>
        <v>103593.075335393</v>
      </c>
      <c r="AA19" s="21" t="n">
        <f aca="false">AA16+AA17</f>
        <v>97377.4908152693</v>
      </c>
      <c r="AB19" s="21" t="n">
        <f aca="false">AB16+AB17</f>
        <v>2130852.97416782</v>
      </c>
      <c r="AC19" s="21" t="n">
        <f aca="false">AC16+AC17</f>
        <v>194549.866629657</v>
      </c>
      <c r="AD19" s="21" t="n">
        <f aca="false">AD16+AD17</f>
        <v>182876.874631878</v>
      </c>
      <c r="AE19" s="21" t="n">
        <f aca="false">AE16+AE17</f>
        <v>171904.262153965</v>
      </c>
      <c r="AF19" s="21" t="n">
        <f aca="false">AF16+AF17</f>
        <v>161590.006424727</v>
      </c>
      <c r="AG19" s="21" t="n">
        <f aca="false">AG16+AG17+AG18-AG14</f>
        <v>-1232318.02117656</v>
      </c>
    </row>
    <row r="20" customFormat="false" ht="15" hidden="false" customHeight="false" outlineLevel="0" collapsed="false">
      <c r="A20" s="13" t="s">
        <v>137</v>
      </c>
      <c r="B20" s="21" t="n">
        <f aca="false">C20</f>
        <v>4694641.88843579</v>
      </c>
      <c r="C20" s="21" t="n">
        <f aca="false">SUMIF(Inputs!$B$36:$B$52,"ECA",Inputs!$C$36:$C$52)*Inputs!$C$11*Inputs!$C$16</f>
        <v>4694641.88843579</v>
      </c>
      <c r="D20" s="21" t="n">
        <f aca="false">C20-D22</f>
        <v>4694641.88843579</v>
      </c>
      <c r="E20" s="21" t="n">
        <f aca="false">D20-E22</f>
        <v>4359310.32497609</v>
      </c>
      <c r="F20" s="21" t="n">
        <f aca="false">E20-F22</f>
        <v>4023978.76151639</v>
      </c>
      <c r="G20" s="21" t="n">
        <f aca="false">F20-G22</f>
        <v>3688647.1980567</v>
      </c>
      <c r="H20" s="21" t="n">
        <f aca="false">G20-H22</f>
        <v>3353315.634597</v>
      </c>
      <c r="I20" s="21" t="n">
        <f aca="false">H20-I22</f>
        <v>3017984.0711373</v>
      </c>
      <c r="J20" s="21" t="n">
        <f aca="false">I20-J22</f>
        <v>2682652.5076776</v>
      </c>
      <c r="K20" s="21" t="n">
        <f aca="false">J20-K22</f>
        <v>2347320.9442179</v>
      </c>
      <c r="L20" s="21" t="n">
        <f aca="false">K20-L22</f>
        <v>2011989.3807582</v>
      </c>
      <c r="M20" s="21" t="n">
        <f aca="false">L20-M22</f>
        <v>1676657.8172985</v>
      </c>
      <c r="N20" s="21" t="n">
        <f aca="false">M20-N22</f>
        <v>1341326.2538388</v>
      </c>
      <c r="O20" s="21" t="n">
        <f aca="false">N20-O22</f>
        <v>1005994.6903791</v>
      </c>
      <c r="P20" s="21" t="n">
        <f aca="false">O20-P22</f>
        <v>670663.1269194</v>
      </c>
      <c r="Q20" s="21" t="n">
        <f aca="false">P20-Q22</f>
        <v>335331.5634597</v>
      </c>
      <c r="R20" s="21" t="n">
        <f aca="false">Q20-R22</f>
        <v>0</v>
      </c>
      <c r="S20" s="21" t="n">
        <f aca="false">R20-S22</f>
        <v>0</v>
      </c>
      <c r="T20" s="21" t="n">
        <f aca="false">S20-T22</f>
        <v>0</v>
      </c>
      <c r="U20" s="21" t="n">
        <f aca="false">T20-U22</f>
        <v>0</v>
      </c>
      <c r="V20" s="21" t="n">
        <f aca="false">U20-V22</f>
        <v>0</v>
      </c>
      <c r="W20" s="21" t="n">
        <f aca="false">V20-W22</f>
        <v>0</v>
      </c>
      <c r="X20" s="21" t="n">
        <f aca="false">W20-X22</f>
        <v>0</v>
      </c>
      <c r="Y20" s="21" t="n">
        <f aca="false">X20-Y22</f>
        <v>0</v>
      </c>
      <c r="Z20" s="21" t="n">
        <f aca="false">Y20-Z22</f>
        <v>0</v>
      </c>
      <c r="AA20" s="21" t="n">
        <f aca="false">Z20-AA22</f>
        <v>0</v>
      </c>
      <c r="AB20" s="21" t="n">
        <f aca="false">AA20-AB22</f>
        <v>0</v>
      </c>
      <c r="AC20" s="21" t="n">
        <f aca="false">AB20-AC22</f>
        <v>0</v>
      </c>
      <c r="AD20" s="21" t="n">
        <f aca="false">AC20-AD22</f>
        <v>0</v>
      </c>
      <c r="AE20" s="21" t="n">
        <f aca="false">AD20-AE22</f>
        <v>0</v>
      </c>
      <c r="AF20" s="21" t="n">
        <f aca="false">AE20-AF22</f>
        <v>0</v>
      </c>
      <c r="AG20" s="21" t="n">
        <f aca="false">AF20-AG22</f>
        <v>0</v>
      </c>
    </row>
    <row r="21" customFormat="false" ht="15" hidden="false" customHeight="false" outlineLevel="0" collapsed="false">
      <c r="A21" s="13" t="s">
        <v>138</v>
      </c>
      <c r="C21" s="21" t="n">
        <v>0</v>
      </c>
      <c r="D21" s="21" t="n">
        <f aca="false">IF(1&lt;=Inputs!$C$18,C20*Inputs!$C$17,0)</f>
        <v>272758.69371812</v>
      </c>
      <c r="E21" s="21" t="n">
        <f aca="false">IF(2&lt;=Inputs!$C$18,D20*Inputs!$C$17,0)</f>
        <v>272758.69371812</v>
      </c>
      <c r="F21" s="21" t="n">
        <f aca="false">IF(3&lt;=Inputs!$C$18,E20*Inputs!$C$17,0)</f>
        <v>253275.929881111</v>
      </c>
      <c r="G21" s="21" t="n">
        <f aca="false">IF(4&lt;=Inputs!$C$18,F20*Inputs!$C$17,0)</f>
        <v>233793.166044103</v>
      </c>
      <c r="H21" s="21" t="n">
        <f aca="false">IF(5&lt;=Inputs!$C$18,G20*Inputs!$C$17,0)</f>
        <v>214310.402207094</v>
      </c>
      <c r="I21" s="21" t="n">
        <f aca="false">IF(6&lt;=Inputs!$C$18,H20*Inputs!$C$17,0)</f>
        <v>194827.638370085</v>
      </c>
      <c r="J21" s="21" t="n">
        <f aca="false">IF(7&lt;=Inputs!$C$18,I20*Inputs!$C$17,0)</f>
        <v>175344.874533077</v>
      </c>
      <c r="K21" s="21" t="n">
        <f aca="false">IF(8&lt;=Inputs!$C$18,J20*Inputs!$C$17,0)</f>
        <v>155862.110696068</v>
      </c>
      <c r="L21" s="21" t="n">
        <f aca="false">IF(9&lt;=Inputs!$C$18,K20*Inputs!$C$17,0)</f>
        <v>136379.34685906</v>
      </c>
      <c r="M21" s="21" t="n">
        <f aca="false">IF(10&lt;=Inputs!$C$18,L20*Inputs!$C$17,0)</f>
        <v>116896.583022051</v>
      </c>
      <c r="N21" s="21" t="n">
        <f aca="false">IF(11&lt;=Inputs!$C$18,M20*Inputs!$C$17,0)</f>
        <v>97413.8191850427</v>
      </c>
      <c r="O21" s="21" t="n">
        <f aca="false">IF(12&lt;=Inputs!$C$18,N20*Inputs!$C$17,0)</f>
        <v>77931.0553480342</v>
      </c>
      <c r="P21" s="21" t="n">
        <f aca="false">IF(13&lt;=Inputs!$C$18,O20*Inputs!$C$17,0)</f>
        <v>58448.2915110257</v>
      </c>
      <c r="Q21" s="21" t="n">
        <f aca="false">IF(14&lt;=Inputs!$C$18,P20*Inputs!$C$17,0)</f>
        <v>38965.5276740171</v>
      </c>
      <c r="R21" s="21" t="n">
        <f aca="false">IF(15&lt;=Inputs!$C$18,Q20*Inputs!$C$17,0)</f>
        <v>19482.7638370086</v>
      </c>
      <c r="S21" s="21" t="n">
        <f aca="false">IF(16&lt;=Inputs!$C$18,R20*Inputs!$C$17,0)</f>
        <v>0</v>
      </c>
      <c r="T21" s="21" t="n">
        <f aca="false">IF(17&lt;=Inputs!$C$18,S20*Inputs!$C$17,0)</f>
        <v>0</v>
      </c>
      <c r="U21" s="21" t="n">
        <f aca="false">IF(18&lt;=Inputs!$C$18,T20*Inputs!$C$17,0)</f>
        <v>0</v>
      </c>
      <c r="V21" s="21" t="n">
        <f aca="false">IF(19&lt;=Inputs!$C$18,U20*Inputs!$C$17,0)</f>
        <v>0</v>
      </c>
      <c r="W21" s="21" t="n">
        <f aca="false">IF(20&lt;=Inputs!$C$18,V20*Inputs!$C$17,0)</f>
        <v>0</v>
      </c>
      <c r="X21" s="21" t="n">
        <f aca="false">IF(21&lt;=Inputs!$C$18,W20*Inputs!$C$17,0)</f>
        <v>0</v>
      </c>
      <c r="Y21" s="21" t="n">
        <f aca="false">IF(22&lt;=Inputs!$C$18,X20*Inputs!$C$17,0)</f>
        <v>0</v>
      </c>
      <c r="Z21" s="21" t="n">
        <f aca="false">IF(23&lt;=Inputs!$C$18,Y20*Inputs!$C$17,0)</f>
        <v>0</v>
      </c>
      <c r="AA21" s="21" t="n">
        <f aca="false">IF(24&lt;=Inputs!$C$18,Z20*Inputs!$C$17,0)</f>
        <v>0</v>
      </c>
      <c r="AB21" s="21" t="n">
        <f aca="false">IF(25&lt;=Inputs!$C$18,AA20*Inputs!$C$17,0)</f>
        <v>0</v>
      </c>
      <c r="AC21" s="21" t="n">
        <f aca="false">IF(26&lt;=Inputs!$C$18,AB20*Inputs!$C$17,0)</f>
        <v>0</v>
      </c>
      <c r="AD21" s="21" t="n">
        <f aca="false">IF(27&lt;=Inputs!$C$18,AC20*Inputs!$C$17,0)</f>
        <v>0</v>
      </c>
      <c r="AE21" s="21" t="n">
        <f aca="false">IF(28&lt;=Inputs!$C$18,AD20*Inputs!$C$17,0)</f>
        <v>0</v>
      </c>
      <c r="AF21" s="21" t="n">
        <f aca="false">IF(29&lt;=Inputs!$C$18,AE20*Inputs!$C$17,0)</f>
        <v>0</v>
      </c>
      <c r="AG21" s="21" t="n">
        <f aca="false">IF(30&lt;=Inputs!$C$18,AF20*Inputs!$C$17,0)</f>
        <v>0</v>
      </c>
    </row>
    <row r="22" customFormat="false" ht="15" hidden="false" customHeight="false" outlineLevel="0" collapsed="false">
      <c r="A22" s="13" t="s">
        <v>139</v>
      </c>
      <c r="C22" s="21" t="n">
        <v>0</v>
      </c>
      <c r="D22" s="21" t="n">
        <f aca="false">IF(AND(1&gt;Inputs!$C$19,1&lt;=Inputs!$C$18),MIN($B20/(Inputs!$C$18-Inputs!$C$19),C20),0)</f>
        <v>0</v>
      </c>
      <c r="E22" s="21" t="n">
        <f aca="false">IF(AND(2&gt;Inputs!$C$19,2&lt;=Inputs!$C$18),MIN($B20/(Inputs!$C$18-Inputs!$C$19),D20),0)</f>
        <v>335331.5634597</v>
      </c>
      <c r="F22" s="21" t="n">
        <f aca="false">IF(AND(3&gt;Inputs!$C$19,3&lt;=Inputs!$C$18),MIN($B20/(Inputs!$C$18-Inputs!$C$19),E20),0)</f>
        <v>335331.5634597</v>
      </c>
      <c r="G22" s="21" t="n">
        <f aca="false">IF(AND(4&gt;Inputs!$C$19,4&lt;=Inputs!$C$18),MIN($B20/(Inputs!$C$18-Inputs!$C$19),F20),0)</f>
        <v>335331.5634597</v>
      </c>
      <c r="H22" s="21" t="n">
        <f aca="false">IF(AND(5&gt;Inputs!$C$19,5&lt;=Inputs!$C$18),MIN($B20/(Inputs!$C$18-Inputs!$C$19),G20),0)</f>
        <v>335331.5634597</v>
      </c>
      <c r="I22" s="21" t="n">
        <f aca="false">IF(AND(6&gt;Inputs!$C$19,6&lt;=Inputs!$C$18),MIN($B20/(Inputs!$C$18-Inputs!$C$19),H20),0)</f>
        <v>335331.5634597</v>
      </c>
      <c r="J22" s="21" t="n">
        <f aca="false">IF(AND(7&gt;Inputs!$C$19,7&lt;=Inputs!$C$18),MIN($B20/(Inputs!$C$18-Inputs!$C$19),I20),0)</f>
        <v>335331.5634597</v>
      </c>
      <c r="K22" s="21" t="n">
        <f aca="false">IF(AND(8&gt;Inputs!$C$19,8&lt;=Inputs!$C$18),MIN($B20/(Inputs!$C$18-Inputs!$C$19),J20),0)</f>
        <v>335331.5634597</v>
      </c>
      <c r="L22" s="21" t="n">
        <f aca="false">IF(AND(9&gt;Inputs!$C$19,9&lt;=Inputs!$C$18),MIN($B20/(Inputs!$C$18-Inputs!$C$19),K20),0)</f>
        <v>335331.5634597</v>
      </c>
      <c r="M22" s="21" t="n">
        <f aca="false">IF(AND(10&gt;Inputs!$C$19,10&lt;=Inputs!$C$18),MIN($B20/(Inputs!$C$18-Inputs!$C$19),L20),0)</f>
        <v>335331.5634597</v>
      </c>
      <c r="N22" s="21" t="n">
        <f aca="false">IF(AND(11&gt;Inputs!$C$19,11&lt;=Inputs!$C$18),MIN($B20/(Inputs!$C$18-Inputs!$C$19),M20),0)</f>
        <v>335331.5634597</v>
      </c>
      <c r="O22" s="21" t="n">
        <f aca="false">IF(AND(12&gt;Inputs!$C$19,12&lt;=Inputs!$C$18),MIN($B20/(Inputs!$C$18-Inputs!$C$19),N20),0)</f>
        <v>335331.5634597</v>
      </c>
      <c r="P22" s="21" t="n">
        <f aca="false">IF(AND(13&gt;Inputs!$C$19,13&lt;=Inputs!$C$18),MIN($B20/(Inputs!$C$18-Inputs!$C$19),O20),0)</f>
        <v>335331.5634597</v>
      </c>
      <c r="Q22" s="21" t="n">
        <f aca="false">IF(AND(14&gt;Inputs!$C$19,14&lt;=Inputs!$C$18),MIN($B20/(Inputs!$C$18-Inputs!$C$19),P20),0)</f>
        <v>335331.5634597</v>
      </c>
      <c r="R22" s="21" t="n">
        <f aca="false">IF(AND(15&gt;Inputs!$C$19,15&lt;=Inputs!$C$18),MIN($B20/(Inputs!$C$18-Inputs!$C$19),Q20),0)</f>
        <v>335331.5634597</v>
      </c>
      <c r="S22" s="21" t="n">
        <f aca="false">IF(AND(16&gt;Inputs!$C$19,16&lt;=Inputs!$C$18),MIN($B20/(Inputs!$C$18-Inputs!$C$19),R20),0)</f>
        <v>0</v>
      </c>
      <c r="T22" s="21" t="n">
        <f aca="false">IF(AND(17&gt;Inputs!$C$19,17&lt;=Inputs!$C$18),MIN($B20/(Inputs!$C$18-Inputs!$C$19),S20),0)</f>
        <v>0</v>
      </c>
      <c r="U22" s="21" t="n">
        <f aca="false">IF(AND(18&gt;Inputs!$C$19,18&lt;=Inputs!$C$18),MIN($B20/(Inputs!$C$18-Inputs!$C$19),T20),0)</f>
        <v>0</v>
      </c>
      <c r="V22" s="21" t="n">
        <f aca="false">IF(AND(19&gt;Inputs!$C$19,19&lt;=Inputs!$C$18),MIN($B20/(Inputs!$C$18-Inputs!$C$19),U20),0)</f>
        <v>0</v>
      </c>
      <c r="W22" s="21" t="n">
        <f aca="false">IF(AND(20&gt;Inputs!$C$19,20&lt;=Inputs!$C$18),MIN($B20/(Inputs!$C$18-Inputs!$C$19),V20),0)</f>
        <v>0</v>
      </c>
      <c r="X22" s="21" t="n">
        <f aca="false">IF(AND(21&gt;Inputs!$C$19,21&lt;=Inputs!$C$18),MIN($B20/(Inputs!$C$18-Inputs!$C$19),W20),0)</f>
        <v>0</v>
      </c>
      <c r="Y22" s="21" t="n">
        <f aca="false">IF(AND(22&gt;Inputs!$C$19,22&lt;=Inputs!$C$18),MIN($B20/(Inputs!$C$18-Inputs!$C$19),X20),0)</f>
        <v>0</v>
      </c>
      <c r="Z22" s="21" t="n">
        <f aca="false">IF(AND(23&gt;Inputs!$C$19,23&lt;=Inputs!$C$18),MIN($B20/(Inputs!$C$18-Inputs!$C$19),Y20),0)</f>
        <v>0</v>
      </c>
      <c r="AA22" s="21" t="n">
        <f aca="false">IF(AND(24&gt;Inputs!$C$19,24&lt;=Inputs!$C$18),MIN($B20/(Inputs!$C$18-Inputs!$C$19),Z20),0)</f>
        <v>0</v>
      </c>
      <c r="AB22" s="21" t="n">
        <f aca="false">IF(AND(25&gt;Inputs!$C$19,25&lt;=Inputs!$C$18),MIN($B20/(Inputs!$C$18-Inputs!$C$19),AA20),0)</f>
        <v>0</v>
      </c>
      <c r="AC22" s="21" t="n">
        <f aca="false">IF(AND(26&gt;Inputs!$C$19,26&lt;=Inputs!$C$18),MIN($B20/(Inputs!$C$18-Inputs!$C$19),AB20),0)</f>
        <v>0</v>
      </c>
      <c r="AD22" s="21" t="n">
        <f aca="false">IF(AND(27&gt;Inputs!$C$19,27&lt;=Inputs!$C$18),MIN($B20/(Inputs!$C$18-Inputs!$C$19),AC20),0)</f>
        <v>0</v>
      </c>
      <c r="AE22" s="21" t="n">
        <f aca="false">IF(AND(28&gt;Inputs!$C$19,28&lt;=Inputs!$C$18),MIN($B20/(Inputs!$C$18-Inputs!$C$19),AD20),0)</f>
        <v>0</v>
      </c>
      <c r="AF22" s="21" t="n">
        <f aca="false">IF(AND(29&gt;Inputs!$C$19,29&lt;=Inputs!$C$18),MIN($B20/(Inputs!$C$18-Inputs!$C$19),AE20),0)</f>
        <v>0</v>
      </c>
      <c r="AG22" s="21" t="n">
        <f aca="false">IF(AND(30&gt;Inputs!$C$19,30&lt;=Inputs!$C$18),MIN($B20/(Inputs!$C$18-Inputs!$C$19),AF20),0)</f>
        <v>0</v>
      </c>
    </row>
    <row r="23" customFormat="false" ht="15" hidden="false" customHeight="false" outlineLevel="0" collapsed="false">
      <c r="A23" s="13" t="s">
        <v>140</v>
      </c>
      <c r="B23" s="21" t="n">
        <f aca="false">C23</f>
        <v>3422195.43277889</v>
      </c>
      <c r="C23" s="21" t="n">
        <f aca="false">SUMIF(Inputs!$B$36:$B$52,"AF",Inputs!$C$36:$C$52)*Inputs!$C$11*Inputs!$C$21</f>
        <v>3422195.43277889</v>
      </c>
      <c r="D23" s="21" t="n">
        <f aca="false">C23-D25</f>
        <v>3422195.43277889</v>
      </c>
      <c r="E23" s="21" t="n">
        <f aca="false">D23-E25</f>
        <v>3136488.41597235</v>
      </c>
      <c r="F23" s="21" t="n">
        <f aca="false">E23-F25</f>
        <v>2830781.90798936</v>
      </c>
      <c r="G23" s="21" t="n">
        <f aca="false">F23-G25</f>
        <v>2503675.94444755</v>
      </c>
      <c r="H23" s="21" t="n">
        <f aca="false">G23-H25</f>
        <v>2153672.56345782</v>
      </c>
      <c r="I23" s="21" t="n">
        <f aca="false">H23-I25</f>
        <v>1779168.9457988</v>
      </c>
      <c r="J23" s="21" t="n">
        <f aca="false">I23-J25</f>
        <v>1378450.07490366</v>
      </c>
      <c r="K23" s="21" t="n">
        <f aca="false">J23-K25</f>
        <v>949680.883045855</v>
      </c>
      <c r="L23" s="21" t="n">
        <f aca="false">K23-L25</f>
        <v>490897.847758004</v>
      </c>
      <c r="M23" s="21" t="n">
        <f aca="false">L23-M25</f>
        <v>3.08500602841377E-009</v>
      </c>
      <c r="N23" s="21" t="n">
        <f aca="false">M23-N25</f>
        <v>3.08500602841377E-009</v>
      </c>
      <c r="O23" s="21" t="n">
        <f aca="false">N23-O25</f>
        <v>3.08500602841377E-009</v>
      </c>
      <c r="P23" s="21" t="n">
        <f aca="false">O23-P25</f>
        <v>3.08500602841377E-009</v>
      </c>
      <c r="Q23" s="21" t="n">
        <f aca="false">P23-Q25</f>
        <v>3.08500602841377E-009</v>
      </c>
      <c r="R23" s="21" t="n">
        <f aca="false">Q23-R25</f>
        <v>3.08500602841377E-009</v>
      </c>
      <c r="S23" s="21" t="n">
        <f aca="false">R23-S25</f>
        <v>3.08500602841377E-009</v>
      </c>
      <c r="T23" s="21" t="n">
        <f aca="false">S23-T25</f>
        <v>3.08500602841377E-009</v>
      </c>
      <c r="U23" s="21" t="n">
        <f aca="false">T23-U25</f>
        <v>3.08500602841377E-009</v>
      </c>
      <c r="V23" s="21" t="n">
        <f aca="false">U23-V25</f>
        <v>3.08500602841377E-009</v>
      </c>
      <c r="W23" s="21" t="n">
        <f aca="false">V23-W25</f>
        <v>3.08500602841377E-009</v>
      </c>
      <c r="X23" s="21" t="n">
        <f aca="false">W23-X25</f>
        <v>3.08500602841377E-009</v>
      </c>
      <c r="Y23" s="21" t="n">
        <f aca="false">X23-Y25</f>
        <v>3.08500602841377E-009</v>
      </c>
      <c r="Z23" s="21" t="n">
        <f aca="false">Y23-Z25</f>
        <v>3.08500602841377E-009</v>
      </c>
      <c r="AA23" s="21" t="n">
        <f aca="false">Z23-AA25</f>
        <v>3.08500602841377E-009</v>
      </c>
      <c r="AB23" s="21" t="n">
        <f aca="false">AA23-AB25</f>
        <v>3.08500602841377E-009</v>
      </c>
      <c r="AC23" s="21" t="n">
        <f aca="false">AB23-AC25</f>
        <v>3.08500602841377E-009</v>
      </c>
      <c r="AD23" s="21" t="n">
        <f aca="false">AC23-AD25</f>
        <v>3.08500602841377E-009</v>
      </c>
      <c r="AE23" s="21" t="n">
        <f aca="false">AD23-AE25</f>
        <v>3.08500602841377E-009</v>
      </c>
      <c r="AF23" s="21" t="n">
        <f aca="false">AE23-AF25</f>
        <v>3.08500602841377E-009</v>
      </c>
      <c r="AG23" s="21" t="n">
        <f aca="false">AF23-AG25</f>
        <v>3.08500602841377E-009</v>
      </c>
    </row>
    <row r="24" customFormat="false" ht="15" hidden="false" customHeight="false" outlineLevel="0" collapsed="false">
      <c r="A24" s="13" t="s">
        <v>141</v>
      </c>
      <c r="C24" s="21" t="n">
        <v>0</v>
      </c>
      <c r="D24" s="21" t="n">
        <f aca="false">IF(1&lt;=Inputs!$C$23,C23*Inputs!$C$22,0)</f>
        <v>239553.680294522</v>
      </c>
      <c r="E24" s="21" t="n">
        <f aca="false">IF(2&lt;=Inputs!$C$23,D23*Inputs!$C$22,0)</f>
        <v>239553.680294522</v>
      </c>
      <c r="F24" s="21" t="n">
        <f aca="false">IF(3&lt;=Inputs!$C$23,E23*Inputs!$C$22,0)</f>
        <v>219554.189118065</v>
      </c>
      <c r="G24" s="21" t="n">
        <f aca="false">IF(4&lt;=Inputs!$C$23,F23*Inputs!$C$22,0)</f>
        <v>198154.733559255</v>
      </c>
      <c r="H24" s="21" t="n">
        <f aca="false">IF(5&lt;=Inputs!$C$23,G23*Inputs!$C$22,0)</f>
        <v>175257.316111329</v>
      </c>
      <c r="I24" s="21" t="n">
        <f aca="false">IF(6&lt;=Inputs!$C$23,H23*Inputs!$C$22,0)</f>
        <v>150757.079442047</v>
      </c>
      <c r="J24" s="21" t="n">
        <f aca="false">IF(7&lt;=Inputs!$C$23,I23*Inputs!$C$22,0)</f>
        <v>124541.826205916</v>
      </c>
      <c r="K24" s="21" t="n">
        <f aca="false">IF(8&lt;=Inputs!$C$23,J23*Inputs!$C$22,0)</f>
        <v>96491.5052432562</v>
      </c>
      <c r="L24" s="21" t="n">
        <f aca="false">IF(9&lt;=Inputs!$C$23,K23*Inputs!$C$22,0)</f>
        <v>66477.6618132098</v>
      </c>
      <c r="M24" s="21" t="n">
        <f aca="false">IF(10&lt;=Inputs!$C$23,L23*Inputs!$C$22,0)</f>
        <v>34362.8493430603</v>
      </c>
      <c r="N24" s="21" t="n">
        <f aca="false">IF(11&lt;=Inputs!$C$23,M23*Inputs!$C$22,0)</f>
        <v>0</v>
      </c>
      <c r="O24" s="21" t="n">
        <f aca="false">IF(12&lt;=Inputs!$C$23,N23*Inputs!$C$22,0)</f>
        <v>0</v>
      </c>
      <c r="P24" s="21" t="n">
        <f aca="false">IF(13&lt;=Inputs!$C$23,O23*Inputs!$C$22,0)</f>
        <v>0</v>
      </c>
      <c r="Q24" s="21" t="n">
        <f aca="false">IF(14&lt;=Inputs!$C$23,P23*Inputs!$C$22,0)</f>
        <v>0</v>
      </c>
      <c r="R24" s="21" t="n">
        <f aca="false">IF(15&lt;=Inputs!$C$23,Q23*Inputs!$C$22,0)</f>
        <v>0</v>
      </c>
      <c r="S24" s="21" t="n">
        <f aca="false">IF(16&lt;=Inputs!$C$23,R23*Inputs!$C$22,0)</f>
        <v>0</v>
      </c>
      <c r="T24" s="21" t="n">
        <f aca="false">IF(17&lt;=Inputs!$C$23,S23*Inputs!$C$22,0)</f>
        <v>0</v>
      </c>
      <c r="U24" s="21" t="n">
        <f aca="false">IF(18&lt;=Inputs!$C$23,T23*Inputs!$C$22,0)</f>
        <v>0</v>
      </c>
      <c r="V24" s="21" t="n">
        <f aca="false">IF(19&lt;=Inputs!$C$23,U23*Inputs!$C$22,0)</f>
        <v>0</v>
      </c>
      <c r="W24" s="21" t="n">
        <f aca="false">IF(20&lt;=Inputs!$C$23,V23*Inputs!$C$22,0)</f>
        <v>0</v>
      </c>
      <c r="X24" s="21" t="n">
        <f aca="false">IF(21&lt;=Inputs!$C$23,W23*Inputs!$C$22,0)</f>
        <v>0</v>
      </c>
      <c r="Y24" s="21" t="n">
        <f aca="false">IF(22&lt;=Inputs!$C$23,X23*Inputs!$C$22,0)</f>
        <v>0</v>
      </c>
      <c r="Z24" s="21" t="n">
        <f aca="false">IF(23&lt;=Inputs!$C$23,Y23*Inputs!$C$22,0)</f>
        <v>0</v>
      </c>
      <c r="AA24" s="21" t="n">
        <f aca="false">IF(24&lt;=Inputs!$C$23,Z23*Inputs!$C$22,0)</f>
        <v>0</v>
      </c>
      <c r="AB24" s="21" t="n">
        <f aca="false">IF(25&lt;=Inputs!$C$23,AA23*Inputs!$C$22,0)</f>
        <v>0</v>
      </c>
      <c r="AC24" s="21" t="n">
        <f aca="false">IF(26&lt;=Inputs!$C$23,AB23*Inputs!$C$22,0)</f>
        <v>0</v>
      </c>
      <c r="AD24" s="21" t="n">
        <f aca="false">IF(27&lt;=Inputs!$C$23,AC23*Inputs!$C$22,0)</f>
        <v>0</v>
      </c>
      <c r="AE24" s="21" t="n">
        <f aca="false">IF(28&lt;=Inputs!$C$23,AD23*Inputs!$C$22,0)</f>
        <v>0</v>
      </c>
      <c r="AF24" s="21" t="n">
        <f aca="false">IF(29&lt;=Inputs!$C$23,AE23*Inputs!$C$22,0)</f>
        <v>0</v>
      </c>
      <c r="AG24" s="21" t="n">
        <f aca="false">IF(30&lt;=Inputs!$C$23,AF23*Inputs!$C$22,0)</f>
        <v>0</v>
      </c>
    </row>
    <row r="25" customFormat="false" ht="15" hidden="false" customHeight="false" outlineLevel="0" collapsed="false">
      <c r="A25" s="13" t="s">
        <v>142</v>
      </c>
      <c r="C25" s="21" t="n">
        <v>0</v>
      </c>
      <c r="D25" s="21" t="n">
        <f aca="false">IF(AND(1&gt;Inputs!$C$24,1&lt;=Inputs!$C$23),MIN($B23*Inputs!$C$22/(1-(1+Inputs!$C$22)^-(Inputs!$C$23-Inputs!$C$24))-D24,C23),0)</f>
        <v>0</v>
      </c>
      <c r="E25" s="21" t="n">
        <f aca="false">IF(AND(2&gt;Inputs!$C$24,2&lt;=Inputs!$C$23),MIN($B23*Inputs!$C$22/(1-(1+Inputs!$C$22)^-(Inputs!$C$23-Inputs!$C$24))-E24,D23),0)</f>
        <v>285707.016806539</v>
      </c>
      <c r="F25" s="21" t="n">
        <f aca="false">IF(AND(3&gt;Inputs!$C$24,3&lt;=Inputs!$C$23),MIN($B23*Inputs!$C$22/(1-(1+Inputs!$C$22)^-(Inputs!$C$23-Inputs!$C$24))-F24,E23),0)</f>
        <v>305706.507982996</v>
      </c>
      <c r="G25" s="21" t="n">
        <f aca="false">IF(AND(4&gt;Inputs!$C$24,4&lt;=Inputs!$C$23),MIN($B23*Inputs!$C$22/(1-(1+Inputs!$C$22)^-(Inputs!$C$23-Inputs!$C$24))-G24,F23),0)</f>
        <v>327105.963541806</v>
      </c>
      <c r="H25" s="21" t="n">
        <f aca="false">IF(AND(5&gt;Inputs!$C$24,5&lt;=Inputs!$C$23),MIN($B23*Inputs!$C$22/(1-(1+Inputs!$C$22)^-(Inputs!$C$23-Inputs!$C$24))-H24,G23),0)</f>
        <v>350003.380989732</v>
      </c>
      <c r="I25" s="21" t="n">
        <f aca="false">IF(AND(6&gt;Inputs!$C$24,6&lt;=Inputs!$C$23),MIN($B23*Inputs!$C$22/(1-(1+Inputs!$C$22)^-(Inputs!$C$23-Inputs!$C$24))-I24,H23),0)</f>
        <v>374503.617659014</v>
      </c>
      <c r="J25" s="21" t="n">
        <f aca="false">IF(AND(7&gt;Inputs!$C$24,7&lt;=Inputs!$C$23),MIN($B23*Inputs!$C$22/(1-(1+Inputs!$C$22)^-(Inputs!$C$23-Inputs!$C$24))-J24,I23),0)</f>
        <v>400718.870895145</v>
      </c>
      <c r="K25" s="21" t="n">
        <f aca="false">IF(AND(8&gt;Inputs!$C$24,8&lt;=Inputs!$C$23),MIN($B23*Inputs!$C$22/(1-(1+Inputs!$C$22)^-(Inputs!$C$23-Inputs!$C$24))-K24,J23),0)</f>
        <v>428769.191857805</v>
      </c>
      <c r="L25" s="21" t="n">
        <f aca="false">IF(AND(9&gt;Inputs!$C$24,9&lt;=Inputs!$C$23),MIN($B23*Inputs!$C$22/(1-(1+Inputs!$C$22)^-(Inputs!$C$23-Inputs!$C$24))-L24,K23),0)</f>
        <v>458783.035287851</v>
      </c>
      <c r="M25" s="21" t="n">
        <f aca="false">IF(AND(10&gt;Inputs!$C$24,10&lt;=Inputs!$C$23),MIN($B23*Inputs!$C$22/(1-(1+Inputs!$C$22)^-(Inputs!$C$23-Inputs!$C$24))-M24,L23),0)</f>
        <v>490897.847758001</v>
      </c>
      <c r="N25" s="21" t="n">
        <f aca="false">IF(AND(11&gt;Inputs!$C$24,11&lt;=Inputs!$C$23),MIN($B23*Inputs!$C$22/(1-(1+Inputs!$C$22)^-(Inputs!$C$23-Inputs!$C$24))-N24,M23),0)</f>
        <v>0</v>
      </c>
      <c r="O25" s="21" t="n">
        <f aca="false">IF(AND(12&gt;Inputs!$C$24,12&lt;=Inputs!$C$23),MIN($B23*Inputs!$C$22/(1-(1+Inputs!$C$22)^-(Inputs!$C$23-Inputs!$C$24))-O24,N23),0)</f>
        <v>0</v>
      </c>
      <c r="P25" s="21" t="n">
        <f aca="false">IF(AND(13&gt;Inputs!$C$24,13&lt;=Inputs!$C$23),MIN($B23*Inputs!$C$22/(1-(1+Inputs!$C$22)^-(Inputs!$C$23-Inputs!$C$24))-P24,O23),0)</f>
        <v>0</v>
      </c>
      <c r="Q25" s="21" t="n">
        <f aca="false">IF(AND(14&gt;Inputs!$C$24,14&lt;=Inputs!$C$23),MIN($B23*Inputs!$C$22/(1-(1+Inputs!$C$22)^-(Inputs!$C$23-Inputs!$C$24))-Q24,P23),0)</f>
        <v>0</v>
      </c>
      <c r="R25" s="21" t="n">
        <f aca="false">IF(AND(15&gt;Inputs!$C$24,15&lt;=Inputs!$C$23),MIN($B23*Inputs!$C$22/(1-(1+Inputs!$C$22)^-(Inputs!$C$23-Inputs!$C$24))-R24,Q23),0)</f>
        <v>0</v>
      </c>
      <c r="S25" s="21" t="n">
        <f aca="false">IF(AND(16&gt;Inputs!$C$24,16&lt;=Inputs!$C$23),MIN($B23*Inputs!$C$22/(1-(1+Inputs!$C$22)^-(Inputs!$C$23-Inputs!$C$24))-S24,R23),0)</f>
        <v>0</v>
      </c>
      <c r="T25" s="21" t="n">
        <f aca="false">IF(AND(17&gt;Inputs!$C$24,17&lt;=Inputs!$C$23),MIN($B23*Inputs!$C$22/(1-(1+Inputs!$C$22)^-(Inputs!$C$23-Inputs!$C$24))-T24,S23),0)</f>
        <v>0</v>
      </c>
      <c r="U25" s="21" t="n">
        <f aca="false">IF(AND(18&gt;Inputs!$C$24,18&lt;=Inputs!$C$23),MIN($B23*Inputs!$C$22/(1-(1+Inputs!$C$22)^-(Inputs!$C$23-Inputs!$C$24))-U24,T23),0)</f>
        <v>0</v>
      </c>
      <c r="V25" s="21" t="n">
        <f aca="false">IF(AND(19&gt;Inputs!$C$24,19&lt;=Inputs!$C$23),MIN($B23*Inputs!$C$22/(1-(1+Inputs!$C$22)^-(Inputs!$C$23-Inputs!$C$24))-V24,U23),0)</f>
        <v>0</v>
      </c>
      <c r="W25" s="21" t="n">
        <f aca="false">IF(AND(20&gt;Inputs!$C$24,20&lt;=Inputs!$C$23),MIN($B23*Inputs!$C$22/(1-(1+Inputs!$C$22)^-(Inputs!$C$23-Inputs!$C$24))-W24,V23),0)</f>
        <v>0</v>
      </c>
      <c r="X25" s="21" t="n">
        <f aca="false">IF(AND(21&gt;Inputs!$C$24,21&lt;=Inputs!$C$23),MIN($B23*Inputs!$C$22/(1-(1+Inputs!$C$22)^-(Inputs!$C$23-Inputs!$C$24))-X24,W23),0)</f>
        <v>0</v>
      </c>
      <c r="Y25" s="21" t="n">
        <f aca="false">IF(AND(22&gt;Inputs!$C$24,22&lt;=Inputs!$C$23),MIN($B23*Inputs!$C$22/(1-(1+Inputs!$C$22)^-(Inputs!$C$23-Inputs!$C$24))-Y24,X23),0)</f>
        <v>0</v>
      </c>
      <c r="Z25" s="21" t="n">
        <f aca="false">IF(AND(23&gt;Inputs!$C$24,23&lt;=Inputs!$C$23),MIN($B23*Inputs!$C$22/(1-(1+Inputs!$C$22)^-(Inputs!$C$23-Inputs!$C$24))-Z24,Y23),0)</f>
        <v>0</v>
      </c>
      <c r="AA25" s="21" t="n">
        <f aca="false">IF(AND(24&gt;Inputs!$C$24,24&lt;=Inputs!$C$23),MIN($B23*Inputs!$C$22/(1-(1+Inputs!$C$22)^-(Inputs!$C$23-Inputs!$C$24))-AA24,Z23),0)</f>
        <v>0</v>
      </c>
      <c r="AB25" s="21" t="n">
        <f aca="false">IF(AND(25&gt;Inputs!$C$24,25&lt;=Inputs!$C$23),MIN($B23*Inputs!$C$22/(1-(1+Inputs!$C$22)^-(Inputs!$C$23-Inputs!$C$24))-AB24,AA23),0)</f>
        <v>0</v>
      </c>
      <c r="AC25" s="21" t="n">
        <f aca="false">IF(AND(26&gt;Inputs!$C$24,26&lt;=Inputs!$C$23),MIN($B23*Inputs!$C$22/(1-(1+Inputs!$C$22)^-(Inputs!$C$23-Inputs!$C$24))-AC24,AB23),0)</f>
        <v>0</v>
      </c>
      <c r="AD25" s="21" t="n">
        <f aca="false">IF(AND(27&gt;Inputs!$C$24,27&lt;=Inputs!$C$23),MIN($B23*Inputs!$C$22/(1-(1+Inputs!$C$22)^-(Inputs!$C$23-Inputs!$C$24))-AD24,AC23),0)</f>
        <v>0</v>
      </c>
      <c r="AE25" s="21" t="n">
        <f aca="false">IF(AND(28&gt;Inputs!$C$24,28&lt;=Inputs!$C$23),MIN($B23*Inputs!$C$22/(1-(1+Inputs!$C$22)^-(Inputs!$C$23-Inputs!$C$24))-AE24,AD23),0)</f>
        <v>0</v>
      </c>
      <c r="AF25" s="21" t="n">
        <f aca="false">IF(AND(29&gt;Inputs!$C$24,29&lt;=Inputs!$C$23),MIN($B23*Inputs!$C$22/(1-(1+Inputs!$C$22)^-(Inputs!$C$23-Inputs!$C$24))-AF24,AE23),0)</f>
        <v>0</v>
      </c>
      <c r="AG25" s="21" t="n">
        <f aca="false">IF(AND(30&gt;Inputs!$C$24,30&lt;=Inputs!$C$23),MIN($B23*Inputs!$C$22/(1-(1+Inputs!$C$22)^-(Inputs!$C$23-Inputs!$C$24))-AG24,AF23),0)</f>
        <v>0</v>
      </c>
    </row>
    <row r="26" customFormat="false" ht="15" hidden="false" customHeight="false" outlineLevel="0" collapsed="false">
      <c r="A26" s="13" t="s">
        <v>143</v>
      </c>
      <c r="C26" s="21" t="n">
        <f aca="false">C21+C22+C24+C25</f>
        <v>0</v>
      </c>
      <c r="D26" s="21" t="n">
        <f aca="false">D21+D22+D24+D25</f>
        <v>512312.374012642</v>
      </c>
      <c r="E26" s="21" t="n">
        <f aca="false">E21+E22+E24+E25</f>
        <v>1133350.95427888</v>
      </c>
      <c r="F26" s="21" t="n">
        <f aca="false">F21+F22+F24+F25</f>
        <v>1113868.19044187</v>
      </c>
      <c r="G26" s="21" t="n">
        <f aca="false">G21+G22+G24+G25</f>
        <v>1094385.42660486</v>
      </c>
      <c r="H26" s="21" t="n">
        <f aca="false">H21+H22+H24+H25</f>
        <v>1074902.66276785</v>
      </c>
      <c r="I26" s="21" t="n">
        <f aca="false">I21+I22+I24+I25</f>
        <v>1055419.89893085</v>
      </c>
      <c r="J26" s="21" t="n">
        <f aca="false">J21+J22+J24+J25</f>
        <v>1035937.13509384</v>
      </c>
      <c r="K26" s="21" t="n">
        <f aca="false">K21+K22+K24+K25</f>
        <v>1016454.37125683</v>
      </c>
      <c r="L26" s="21" t="n">
        <f aca="false">L21+L22+L24+L25</f>
        <v>996971.60741982</v>
      </c>
      <c r="M26" s="21" t="n">
        <f aca="false">M21+M22+M24+M25</f>
        <v>977488.843582812</v>
      </c>
      <c r="N26" s="21" t="n">
        <f aca="false">N21+N22+N24+N25</f>
        <v>432745.382644742</v>
      </c>
      <c r="O26" s="21" t="n">
        <f aca="false">O21+O22+O24+O25</f>
        <v>413262.618807734</v>
      </c>
      <c r="P26" s="21" t="n">
        <f aca="false">P21+P22+P24+P25</f>
        <v>393779.854970725</v>
      </c>
      <c r="Q26" s="21" t="n">
        <f aca="false">Q21+Q22+Q24+Q25</f>
        <v>374297.091133717</v>
      </c>
      <c r="R26" s="21" t="n">
        <f aca="false">R21+R22+R24+R25</f>
        <v>354814.327296708</v>
      </c>
      <c r="S26" s="21" t="n">
        <f aca="false">S21+S22+S24+S25</f>
        <v>0</v>
      </c>
      <c r="T26" s="21" t="n">
        <f aca="false">T21+T22+T24+T25</f>
        <v>0</v>
      </c>
      <c r="U26" s="21" t="n">
        <f aca="false">U21+U22+U24+U25</f>
        <v>0</v>
      </c>
      <c r="V26" s="21" t="n">
        <f aca="false">V21+V22+V24+V25</f>
        <v>0</v>
      </c>
      <c r="W26" s="21" t="n">
        <f aca="false">W21+W22+W24+W25</f>
        <v>0</v>
      </c>
      <c r="X26" s="21" t="n">
        <f aca="false">X21+X22+X24+X25</f>
        <v>0</v>
      </c>
      <c r="Y26" s="21" t="n">
        <f aca="false">Y21+Y22+Y24+Y25</f>
        <v>0</v>
      </c>
      <c r="Z26" s="21" t="n">
        <f aca="false">Z21+Z22+Z24+Z25</f>
        <v>0</v>
      </c>
      <c r="AA26" s="21" t="n">
        <f aca="false">AA21+AA22+AA24+AA25</f>
        <v>0</v>
      </c>
      <c r="AB26" s="21" t="n">
        <f aca="false">AB21+AB22+AB24+AB25</f>
        <v>0</v>
      </c>
      <c r="AC26" s="21" t="n">
        <f aca="false">AC21+AC22+AC24+AC25</f>
        <v>0</v>
      </c>
      <c r="AD26" s="21" t="n">
        <f aca="false">AD21+AD22+AD24+AD25</f>
        <v>0</v>
      </c>
      <c r="AE26" s="21" t="n">
        <f aca="false">AE21+AE22+AE24+AE25</f>
        <v>0</v>
      </c>
      <c r="AF26" s="21" t="n">
        <f aca="false">AF21+AF22+AF24+AF25</f>
        <v>0</v>
      </c>
      <c r="AG26" s="21" t="n">
        <f aca="false">AG21+AG22+AG24+AG25</f>
        <v>0</v>
      </c>
    </row>
    <row r="27" customFormat="false" ht="15" hidden="false" customHeight="false" outlineLevel="0" collapsed="false">
      <c r="A27" s="13" t="s">
        <v>144</v>
      </c>
      <c r="C27" s="21" t="n">
        <f aca="false">C11-C19-C21-C24</f>
        <v>-7800399.64070004</v>
      </c>
      <c r="D27" s="21" t="n">
        <f aca="false">D11-D19-D21-D24</f>
        <v>547362.678010144</v>
      </c>
      <c r="E27" s="21" t="n">
        <f aca="false">E11-E19-E21-E24</f>
        <v>1338262.97388618</v>
      </c>
      <c r="F27" s="21" t="n">
        <f aca="false">F11-F19-F21-F24</f>
        <v>1426131.90558073</v>
      </c>
      <c r="G27" s="21" t="n">
        <f aca="false">G11-G19-G21-G24</f>
        <v>1515686.02500787</v>
      </c>
      <c r="H27" s="21" t="n">
        <f aca="false">H11-H19-H21-H24</f>
        <v>1607069.98475236</v>
      </c>
      <c r="I27" s="21" t="n">
        <f aca="false">I11-I19-I21-I24</f>
        <v>1700433.77328937</v>
      </c>
      <c r="J27" s="21" t="n">
        <f aca="false">J11-J19-J21-J24</f>
        <v>1795933.31211568</v>
      </c>
      <c r="K27" s="21" t="n">
        <f aca="false">K11-K19-K21-K24</f>
        <v>1893731.07998771</v>
      </c>
      <c r="L27" s="21" t="n">
        <f aca="false">L11-L19-L21-L24</f>
        <v>1993996.76701966</v>
      </c>
      <c r="M27" s="21" t="n">
        <f aca="false">M11-M19-M21-M24</f>
        <v>1802083.8934604</v>
      </c>
      <c r="N27" s="21" t="n">
        <f aca="false">N11-N19-N21-N24</f>
        <v>2186964.00721923</v>
      </c>
      <c r="O27" s="21" t="n">
        <f aca="false">O11-O19-O21-O24</f>
        <v>2259907.18995085</v>
      </c>
      <c r="P27" s="21" t="n">
        <f aca="false">P11-P19-P21-P24</f>
        <v>2333453.20931836</v>
      </c>
      <c r="Q27" s="21" t="n">
        <f aca="false">Q11-Q19-Q21-Q24</f>
        <v>2407642.10435902</v>
      </c>
      <c r="R27" s="21" t="n">
        <f aca="false">R11-R19-R21-R24</f>
        <v>1742832.5250947</v>
      </c>
      <c r="S27" s="21" t="n">
        <f aca="false">S11-S19-S21-S24</f>
        <v>2518747.78432216</v>
      </c>
      <c r="T27" s="21" t="n">
        <f aca="false">T11-T19-T21-T24</f>
        <v>2577975.80181872</v>
      </c>
      <c r="U27" s="21" t="n">
        <f aca="false">U11-U19-U21-U24</f>
        <v>2637857.1959566</v>
      </c>
      <c r="V27" s="21" t="n">
        <f aca="false">V11-V19-V21-V24</f>
        <v>2698436.90529116</v>
      </c>
      <c r="W27" s="21" t="n">
        <f aca="false">W11-W19-W21-W24</f>
        <v>2082720.21120798</v>
      </c>
      <c r="X27" s="21" t="n">
        <f aca="false">X11-X19-X21-X24</f>
        <v>2785842.48521693</v>
      </c>
      <c r="Y27" s="21" t="n">
        <f aca="false">Y11-Y19-Y21-Y24</f>
        <v>2850938.51783982</v>
      </c>
      <c r="Z27" s="21" t="n">
        <f aca="false">Z11-Z19-Z21-Z24</f>
        <v>2916773.72014005</v>
      </c>
      <c r="AA27" s="21" t="n">
        <f aca="false">AA11-AA19-AA21-AA24</f>
        <v>2983396.64056969</v>
      </c>
      <c r="AB27" s="21" t="n">
        <f aca="false">AB11-AB19-AB21-AB24</f>
        <v>1011536.63984484</v>
      </c>
      <c r="AC27" s="21" t="n">
        <f aca="false">AC11-AC19-AC21-AC24</f>
        <v>3010687.53966325</v>
      </c>
      <c r="AD27" s="21" t="n">
        <f aca="false">AD11-AD19-AD21-AD24</f>
        <v>3086465.27978689</v>
      </c>
      <c r="AE27" s="21" t="n">
        <f aca="false">AE11-AE19-AE21-AE24</f>
        <v>3162824.73535318</v>
      </c>
      <c r="AF27" s="21" t="n">
        <f aca="false">AF11-AF19-AF21-AF24</f>
        <v>3239833.57103256</v>
      </c>
      <c r="AG27" s="21" t="n">
        <f aca="false">AG11-AG19-AG21-AG24</f>
        <v>4701770.07018299</v>
      </c>
    </row>
    <row r="28" customFormat="false" ht="15" hidden="false" customHeight="false" outlineLevel="0" collapsed="false">
      <c r="A28" s="13" t="s">
        <v>145</v>
      </c>
      <c r="C28" s="21" t="n">
        <v>0</v>
      </c>
      <c r="D28" s="21" t="n">
        <f aca="false">MIN(C29,MAX(D27,0))</f>
        <v>547362.678010144</v>
      </c>
      <c r="E28" s="21" t="n">
        <f aca="false">MIN(D29,MAX(E27,0))</f>
        <v>1338262.97388618</v>
      </c>
      <c r="F28" s="21" t="n">
        <f aca="false">MIN(E29,MAX(F27,0))</f>
        <v>1426131.90558073</v>
      </c>
      <c r="G28" s="21" t="n">
        <f aca="false">MIN(F29,MAX(G27,0))</f>
        <v>1515686.02500787</v>
      </c>
      <c r="H28" s="21" t="n">
        <f aca="false">MIN(G29,MAX(H27,0))</f>
        <v>1607069.98475236</v>
      </c>
      <c r="I28" s="21" t="n">
        <f aca="false">MIN(H29,MAX(I27,0))</f>
        <v>1365886.07346276</v>
      </c>
      <c r="J28" s="21" t="n">
        <f aca="false">MIN(I29,MAX(J27,0))</f>
        <v>0</v>
      </c>
      <c r="K28" s="21" t="n">
        <f aca="false">MIN(J29,MAX(K27,0))</f>
        <v>0</v>
      </c>
      <c r="L28" s="21" t="n">
        <f aca="false">MIN(K29,MAX(L27,0))</f>
        <v>0</v>
      </c>
      <c r="M28" s="21" t="n">
        <f aca="false">MIN(L29,MAX(M27,0))</f>
        <v>0</v>
      </c>
      <c r="N28" s="21" t="n">
        <f aca="false">MIN(M29,MAX(N27,0))</f>
        <v>0</v>
      </c>
      <c r="O28" s="21" t="n">
        <f aca="false">MIN(N29,MAX(O27,0))</f>
        <v>0</v>
      </c>
      <c r="P28" s="21" t="n">
        <f aca="false">MIN(O29,MAX(P27,0))</f>
        <v>0</v>
      </c>
      <c r="Q28" s="21" t="n">
        <f aca="false">MIN(P29,MAX(Q27,0))</f>
        <v>0</v>
      </c>
      <c r="R28" s="21" t="n">
        <f aca="false">MIN(Q29,MAX(R27,0))</f>
        <v>0</v>
      </c>
      <c r="S28" s="21" t="n">
        <f aca="false">MIN(R29,MAX(S27,0))</f>
        <v>0</v>
      </c>
      <c r="T28" s="21" t="n">
        <f aca="false">MIN(S29,MAX(T27,0))</f>
        <v>0</v>
      </c>
      <c r="U28" s="21" t="n">
        <f aca="false">MIN(T29,MAX(U27,0))</f>
        <v>0</v>
      </c>
      <c r="V28" s="21" t="n">
        <f aca="false">MIN(U29,MAX(V27,0))</f>
        <v>0</v>
      </c>
      <c r="W28" s="21" t="n">
        <f aca="false">MIN(V29,MAX(W27,0))</f>
        <v>0</v>
      </c>
      <c r="X28" s="21" t="n">
        <f aca="false">MIN(W29,MAX(X27,0))</f>
        <v>0</v>
      </c>
      <c r="Y28" s="21" t="n">
        <f aca="false">MIN(X29,MAX(Y27,0))</f>
        <v>0</v>
      </c>
      <c r="Z28" s="21" t="n">
        <f aca="false">MIN(Y29,MAX(Z27,0))</f>
        <v>0</v>
      </c>
      <c r="AA28" s="21" t="n">
        <f aca="false">MIN(Z29,MAX(AA27,0))</f>
        <v>0</v>
      </c>
      <c r="AB28" s="21" t="n">
        <f aca="false">MIN(AA29,MAX(AB27,0))</f>
        <v>0</v>
      </c>
      <c r="AC28" s="21" t="n">
        <f aca="false">MIN(AB29,MAX(AC27,0))</f>
        <v>0</v>
      </c>
      <c r="AD28" s="21" t="n">
        <f aca="false">MIN(AC29,MAX(AD27,0))</f>
        <v>0</v>
      </c>
      <c r="AE28" s="21" t="n">
        <f aca="false">MIN(AD29,MAX(AE27,0))</f>
        <v>0</v>
      </c>
      <c r="AF28" s="21" t="n">
        <f aca="false">MIN(AE29,MAX(AF27,0))</f>
        <v>0</v>
      </c>
      <c r="AG28" s="21" t="n">
        <f aca="false">MIN(AF29,MAX(AG27,0))</f>
        <v>0</v>
      </c>
    </row>
    <row r="29" customFormat="false" ht="15" hidden="false" customHeight="false" outlineLevel="0" collapsed="false">
      <c r="A29" s="13" t="s">
        <v>146</v>
      </c>
      <c r="C29" s="21" t="n">
        <f aca="false">0-C28+MAX(-C27,0)</f>
        <v>7800399.64070004</v>
      </c>
      <c r="D29" s="21" t="n">
        <f aca="false">C29-D28+MAX(-D27,0)</f>
        <v>7253036.96268989</v>
      </c>
      <c r="E29" s="21" t="n">
        <f aca="false">D29-E28+MAX(-E27,0)</f>
        <v>5914773.98880371</v>
      </c>
      <c r="F29" s="21" t="n">
        <f aca="false">E29-F28+MAX(-F27,0)</f>
        <v>4488642.08322299</v>
      </c>
      <c r="G29" s="21" t="n">
        <f aca="false">F29-G28+MAX(-G27,0)</f>
        <v>2972956.05821512</v>
      </c>
      <c r="H29" s="21" t="n">
        <f aca="false">G29-H28+MAX(-H27,0)</f>
        <v>1365886.07346276</v>
      </c>
      <c r="I29" s="21" t="n">
        <f aca="false">H29-I28+MAX(-I27,0)</f>
        <v>0</v>
      </c>
      <c r="J29" s="21" t="n">
        <f aca="false">I29-J28+MAX(-J27,0)</f>
        <v>0</v>
      </c>
      <c r="K29" s="21" t="n">
        <f aca="false">J29-K28+MAX(-K27,0)</f>
        <v>0</v>
      </c>
      <c r="L29" s="21" t="n">
        <f aca="false">K29-L28+MAX(-L27,0)</f>
        <v>0</v>
      </c>
      <c r="M29" s="21" t="n">
        <f aca="false">L29-M28+MAX(-M27,0)</f>
        <v>0</v>
      </c>
      <c r="N29" s="21" t="n">
        <f aca="false">M29-N28+MAX(-N27,0)</f>
        <v>0</v>
      </c>
      <c r="O29" s="21" t="n">
        <f aca="false">N29-O28+MAX(-O27,0)</f>
        <v>0</v>
      </c>
      <c r="P29" s="21" t="n">
        <f aca="false">O29-P28+MAX(-P27,0)</f>
        <v>0</v>
      </c>
      <c r="Q29" s="21" t="n">
        <f aca="false">P29-Q28+MAX(-Q27,0)</f>
        <v>0</v>
      </c>
      <c r="R29" s="21" t="n">
        <f aca="false">Q29-R28+MAX(-R27,0)</f>
        <v>0</v>
      </c>
      <c r="S29" s="21" t="n">
        <f aca="false">R29-S28+MAX(-S27,0)</f>
        <v>0</v>
      </c>
      <c r="T29" s="21" t="n">
        <f aca="false">S29-T28+MAX(-T27,0)</f>
        <v>0</v>
      </c>
      <c r="U29" s="21" t="n">
        <f aca="false">T29-U28+MAX(-U27,0)</f>
        <v>0</v>
      </c>
      <c r="V29" s="21" t="n">
        <f aca="false">U29-V28+MAX(-V27,0)</f>
        <v>0</v>
      </c>
      <c r="W29" s="21" t="n">
        <f aca="false">V29-W28+MAX(-W27,0)</f>
        <v>0</v>
      </c>
      <c r="X29" s="21" t="n">
        <f aca="false">W29-X28+MAX(-X27,0)</f>
        <v>0</v>
      </c>
      <c r="Y29" s="21" t="n">
        <f aca="false">X29-Y28+MAX(-Y27,0)</f>
        <v>0</v>
      </c>
      <c r="Z29" s="21" t="n">
        <f aca="false">Y29-Z28+MAX(-Z27,0)</f>
        <v>0</v>
      </c>
      <c r="AA29" s="21" t="n">
        <f aca="false">Z29-AA28+MAX(-AA27,0)</f>
        <v>0</v>
      </c>
      <c r="AB29" s="21" t="n">
        <f aca="false">AA29-AB28+MAX(-AB27,0)</f>
        <v>0</v>
      </c>
      <c r="AC29" s="21" t="n">
        <f aca="false">AB29-AC28+MAX(-AC27,0)</f>
        <v>0</v>
      </c>
      <c r="AD29" s="21" t="n">
        <f aca="false">AC29-AD28+MAX(-AD27,0)</f>
        <v>0</v>
      </c>
      <c r="AE29" s="21" t="n">
        <f aca="false">AD29-AE28+MAX(-AE27,0)</f>
        <v>0</v>
      </c>
      <c r="AF29" s="21" t="n">
        <f aca="false">AE29-AF28+MAX(-AF27,0)</f>
        <v>0</v>
      </c>
      <c r="AG29" s="21" t="n">
        <f aca="false">AF29-AG28+MAX(-AG27,0)</f>
        <v>0</v>
      </c>
    </row>
    <row r="30" customFormat="false" ht="15" hidden="false" customHeight="false" outlineLevel="0" collapsed="false">
      <c r="A30" s="13" t="s">
        <v>147</v>
      </c>
      <c r="C30" s="21" t="n">
        <f aca="false">Inputs!$C$7*(MAX(C27,0)-C28)</f>
        <v>0</v>
      </c>
      <c r="D30" s="21" t="n">
        <f aca="false">Inputs!$C$7*(MAX(D27,0)-D28)</f>
        <v>0</v>
      </c>
      <c r="E30" s="21" t="n">
        <f aca="false">Inputs!$C$7*(MAX(E27,0)-E28)</f>
        <v>0</v>
      </c>
      <c r="F30" s="21" t="n">
        <f aca="false">Inputs!$C$7*(MAX(F27,0)-F28)</f>
        <v>0</v>
      </c>
      <c r="G30" s="21" t="n">
        <f aca="false">Inputs!$C$7*(MAX(G27,0)-G28)</f>
        <v>0</v>
      </c>
      <c r="H30" s="21" t="n">
        <f aca="false">Inputs!$C$7*(MAX(H27,0)-H28)</f>
        <v>0</v>
      </c>
      <c r="I30" s="21" t="n">
        <f aca="false">Inputs!$C$7*(MAX(I27,0)-I28)</f>
        <v>83636.9249566527</v>
      </c>
      <c r="J30" s="21" t="n">
        <f aca="false">Inputs!$C$7*(MAX(J27,0)-J28)</f>
        <v>448983.328028919</v>
      </c>
      <c r="K30" s="21" t="n">
        <f aca="false">Inputs!$C$7*(MAX(K27,0)-K28)</f>
        <v>473432.769996928</v>
      </c>
      <c r="L30" s="21" t="n">
        <f aca="false">Inputs!$C$7*(MAX(L27,0)-L28)</f>
        <v>498499.191754915</v>
      </c>
      <c r="M30" s="21" t="n">
        <f aca="false">Inputs!$C$7*(MAX(M27,0)-M28)</f>
        <v>450520.9733651</v>
      </c>
      <c r="N30" s="21" t="n">
        <f aca="false">Inputs!$C$7*(MAX(N27,0)-N28)</f>
        <v>546741.001804807</v>
      </c>
      <c r="O30" s="21" t="n">
        <f aca="false">Inputs!$C$7*(MAX(O27,0)-O28)</f>
        <v>564976.797487711</v>
      </c>
      <c r="P30" s="21" t="n">
        <f aca="false">Inputs!$C$7*(MAX(P27,0)-P28)</f>
        <v>583363.302329591</v>
      </c>
      <c r="Q30" s="21" t="n">
        <f aca="false">Inputs!$C$7*(MAX(Q27,0)-Q28)</f>
        <v>601910.526089755</v>
      </c>
      <c r="R30" s="21" t="n">
        <f aca="false">Inputs!$C$7*(MAX(R27,0)-R28)</f>
        <v>435708.131273675</v>
      </c>
      <c r="S30" s="21" t="n">
        <f aca="false">Inputs!$C$7*(MAX(S27,0)-S28)</f>
        <v>629686.946080539</v>
      </c>
      <c r="T30" s="21" t="n">
        <f aca="false">Inputs!$C$7*(MAX(T27,0)-T28)</f>
        <v>644493.95045468</v>
      </c>
      <c r="U30" s="21" t="n">
        <f aca="false">Inputs!$C$7*(MAX(U27,0)-U28)</f>
        <v>659464.298989151</v>
      </c>
      <c r="V30" s="21" t="n">
        <f aca="false">Inputs!$C$7*(MAX(V27,0)-V28)</f>
        <v>674609.226322789</v>
      </c>
      <c r="W30" s="21" t="n">
        <f aca="false">Inputs!$C$7*(MAX(W27,0)-W28)</f>
        <v>520680.052801994</v>
      </c>
      <c r="X30" s="21" t="n">
        <f aca="false">Inputs!$C$7*(MAX(X27,0)-X28)</f>
        <v>696460.621304232</v>
      </c>
      <c r="Y30" s="21" t="n">
        <f aca="false">Inputs!$C$7*(MAX(Y27,0)-Y28)</f>
        <v>712734.629459955</v>
      </c>
      <c r="Z30" s="21" t="n">
        <f aca="false">Inputs!$C$7*(MAX(Z27,0)-Z28)</f>
        <v>729193.430035013</v>
      </c>
      <c r="AA30" s="21" t="n">
        <f aca="false">Inputs!$C$7*(MAX(AA27,0)-AA28)</f>
        <v>745849.160142421</v>
      </c>
      <c r="AB30" s="21" t="n">
        <f aca="false">Inputs!$C$7*(MAX(AB27,0)-AB28)</f>
        <v>252884.159961209</v>
      </c>
      <c r="AC30" s="21" t="n">
        <f aca="false">Inputs!$C$7*(MAX(AC27,0)-AC28)</f>
        <v>752671.884915812</v>
      </c>
      <c r="AD30" s="21" t="n">
        <f aca="false">Inputs!$C$7*(MAX(AD27,0)-AD28)</f>
        <v>771616.319946722</v>
      </c>
      <c r="AE30" s="21" t="n">
        <f aca="false">Inputs!$C$7*(MAX(AE27,0)-AE28)</f>
        <v>790706.183838294</v>
      </c>
      <c r="AF30" s="21" t="n">
        <f aca="false">Inputs!$C$7*(MAX(AF27,0)-AF28)</f>
        <v>809958.392758139</v>
      </c>
      <c r="AG30" s="21" t="n">
        <f aca="false">Inputs!$C$7*(MAX(AG27,0)-AG28)</f>
        <v>1175442.51754575</v>
      </c>
    </row>
    <row r="31" customFormat="false" ht="15" hidden="false" customHeight="false" outlineLevel="0" collapsed="false">
      <c r="A31" s="13" t="s">
        <v>148</v>
      </c>
      <c r="C31" s="21" t="n">
        <f aca="false">Inputs!$C$29/12*D12</f>
        <v>311690.621148652</v>
      </c>
      <c r="D31" s="21" t="n">
        <f aca="false">Inputs!$C$29/12*E12</f>
        <v>322602.926014165</v>
      </c>
      <c r="E31" s="21" t="n">
        <f aca="false">Inputs!$C$29/12*F12</f>
        <v>329054.984534448</v>
      </c>
      <c r="F31" s="21" t="n">
        <f aca="false">Inputs!$C$29/12*G12</f>
        <v>335636.084225137</v>
      </c>
      <c r="G31" s="21" t="n">
        <f aca="false">Inputs!$C$29/12*H12</f>
        <v>342348.80590964</v>
      </c>
      <c r="H31" s="21" t="n">
        <f aca="false">Inputs!$C$29/12*I12</f>
        <v>349195.782027833</v>
      </c>
      <c r="I31" s="21" t="n">
        <f aca="false">Inputs!$C$29/12*J12</f>
        <v>356179.697668389</v>
      </c>
      <c r="J31" s="21" t="n">
        <f aca="false">Inputs!$C$29/12*K12</f>
        <v>363303.291621757</v>
      </c>
      <c r="K31" s="21" t="n">
        <f aca="false">Inputs!$C$29/12*L12</f>
        <v>370569.357454192</v>
      </c>
      <c r="L31" s="21" t="n">
        <f aca="false">Inputs!$C$29/12*M12</f>
        <v>377980.744603276</v>
      </c>
      <c r="M31" s="21" t="n">
        <f aca="false">Inputs!$C$29/12*N12</f>
        <v>385540.359495342</v>
      </c>
      <c r="N31" s="21" t="n">
        <f aca="false">Inputs!$C$29/12*O12</f>
        <v>393251.166685249</v>
      </c>
      <c r="O31" s="21" t="n">
        <f aca="false">Inputs!$C$29/12*P12</f>
        <v>401116.190018954</v>
      </c>
      <c r="P31" s="21" t="n">
        <f aca="false">Inputs!$C$29/12*Q12</f>
        <v>409138.513819333</v>
      </c>
      <c r="Q31" s="21" t="n">
        <f aca="false">Inputs!$C$29/12*R12</f>
        <v>417321.284095719</v>
      </c>
      <c r="R31" s="21" t="n">
        <f aca="false">Inputs!$C$29/12*S12</f>
        <v>425667.709777634</v>
      </c>
      <c r="S31" s="21" t="n">
        <f aca="false">Inputs!$C$29/12*T12</f>
        <v>434181.063973186</v>
      </c>
      <c r="T31" s="21" t="n">
        <f aca="false">Inputs!$C$29/12*U12</f>
        <v>442864.68525265</v>
      </c>
      <c r="U31" s="21" t="n">
        <f aca="false">Inputs!$C$29/12*V12</f>
        <v>451721.978957703</v>
      </c>
      <c r="V31" s="21" t="n">
        <f aca="false">Inputs!$C$29/12*W12</f>
        <v>460756.418536857</v>
      </c>
      <c r="W31" s="21" t="n">
        <f aca="false">Inputs!$C$29/12*X12</f>
        <v>469971.546907594</v>
      </c>
      <c r="X31" s="21" t="n">
        <f aca="false">Inputs!$C$29/12*Y12</f>
        <v>479370.977845746</v>
      </c>
      <c r="Y31" s="21" t="n">
        <f aca="false">Inputs!$C$29/12*Z12</f>
        <v>488958.397402661</v>
      </c>
      <c r="Z31" s="21" t="n">
        <f aca="false">Inputs!$C$29/12*AA12</f>
        <v>498737.565350714</v>
      </c>
      <c r="AA31" s="21" t="n">
        <f aca="false">Inputs!$C$29/12*AB12</f>
        <v>508712.316657729</v>
      </c>
      <c r="AB31" s="21" t="n">
        <f aca="false">Inputs!$C$29/12*AC12</f>
        <v>518886.562990883</v>
      </c>
      <c r="AC31" s="21" t="n">
        <f aca="false">Inputs!$C$29/12*AD12</f>
        <v>529264.294250701</v>
      </c>
      <c r="AD31" s="21" t="n">
        <f aca="false">Inputs!$C$29/12*AE12</f>
        <v>539849.580135715</v>
      </c>
      <c r="AE31" s="21" t="n">
        <f aca="false">Inputs!$C$29/12*AF12</f>
        <v>550646.571738429</v>
      </c>
      <c r="AF31" s="21" t="n">
        <f aca="false">Inputs!$C$29/12*AG12</f>
        <v>561659.503173198</v>
      </c>
      <c r="AG31" s="21" t="n">
        <v>0</v>
      </c>
    </row>
    <row r="32" customFormat="false" ht="15" hidden="false" customHeight="false" outlineLevel="0" collapsed="false">
      <c r="A32" s="13" t="s">
        <v>149</v>
      </c>
      <c r="C32" s="21" t="n">
        <f aca="false">C31-0</f>
        <v>311690.621148652</v>
      </c>
      <c r="D32" s="21" t="n">
        <f aca="false">D31-C31</f>
        <v>10912.3048655127</v>
      </c>
      <c r="E32" s="21" t="n">
        <f aca="false">E31-D31</f>
        <v>6452.05852028338</v>
      </c>
      <c r="F32" s="21" t="n">
        <f aca="false">F31-E31</f>
        <v>6581.09969068889</v>
      </c>
      <c r="G32" s="21" t="n">
        <f aca="false">G31-F31</f>
        <v>6712.72168450279</v>
      </c>
      <c r="H32" s="21" t="n">
        <f aca="false">H31-G31</f>
        <v>6846.97611819283</v>
      </c>
      <c r="I32" s="21" t="n">
        <f aca="false">I31-H31</f>
        <v>6983.9156405566</v>
      </c>
      <c r="J32" s="21" t="n">
        <f aca="false">J31-I31</f>
        <v>7123.59395336779</v>
      </c>
      <c r="K32" s="21" t="n">
        <f aca="false">K31-J31</f>
        <v>7266.06583243515</v>
      </c>
      <c r="L32" s="21" t="n">
        <f aca="false">L31-K31</f>
        <v>7411.38714908389</v>
      </c>
      <c r="M32" s="21" t="n">
        <f aca="false">M31-L31</f>
        <v>7559.61489206553</v>
      </c>
      <c r="N32" s="21" t="n">
        <f aca="false">N31-M31</f>
        <v>7710.80718990683</v>
      </c>
      <c r="O32" s="21" t="n">
        <f aca="false">O31-N31</f>
        <v>7865.02333370503</v>
      </c>
      <c r="P32" s="21" t="n">
        <f aca="false">P31-O31</f>
        <v>8022.323800379</v>
      </c>
      <c r="Q32" s="21" t="n">
        <f aca="false">Q31-P31</f>
        <v>8182.7702763867</v>
      </c>
      <c r="R32" s="21" t="n">
        <f aca="false">R31-Q31</f>
        <v>8346.42568191432</v>
      </c>
      <c r="S32" s="21" t="n">
        <f aca="false">S31-R31</f>
        <v>8513.35419555276</v>
      </c>
      <c r="T32" s="21" t="n">
        <f aca="false">T31-S31</f>
        <v>8683.6212794637</v>
      </c>
      <c r="U32" s="21" t="n">
        <f aca="false">U31-T31</f>
        <v>8857.29370505299</v>
      </c>
      <c r="V32" s="21" t="n">
        <f aca="false">V31-U31</f>
        <v>9034.43957915413</v>
      </c>
      <c r="W32" s="21" t="n">
        <f aca="false">W31-V31</f>
        <v>9215.12837073713</v>
      </c>
      <c r="X32" s="21" t="n">
        <f aca="false">X31-W31</f>
        <v>9399.4309381519</v>
      </c>
      <c r="Y32" s="21" t="n">
        <f aca="false">Y31-X31</f>
        <v>9587.41955691489</v>
      </c>
      <c r="Z32" s="21" t="n">
        <f aca="false">Z31-Y31</f>
        <v>9779.16794805334</v>
      </c>
      <c r="AA32" s="21" t="n">
        <f aca="false">AA31-Z31</f>
        <v>9974.7513070142</v>
      </c>
      <c r="AB32" s="21" t="n">
        <f aca="false">AB31-AA31</f>
        <v>10174.2463331546</v>
      </c>
      <c r="AC32" s="21" t="n">
        <f aca="false">AC31-AB31</f>
        <v>10377.7312598177</v>
      </c>
      <c r="AD32" s="21" t="n">
        <f aca="false">AD31-AC31</f>
        <v>10585.2858850141</v>
      </c>
      <c r="AE32" s="21" t="n">
        <f aca="false">AE31-AD31</f>
        <v>10796.9916027142</v>
      </c>
      <c r="AF32" s="21" t="n">
        <f aca="false">AF31-AE31</f>
        <v>11012.9314347687</v>
      </c>
      <c r="AG32" s="21" t="n">
        <f aca="false">AG31-AF31</f>
        <v>-561659.503173198</v>
      </c>
    </row>
    <row r="33" customFormat="false" ht="15" hidden="false" customHeight="false" outlineLevel="0" collapsed="false">
      <c r="A33" s="13" t="s">
        <v>150</v>
      </c>
      <c r="C33" s="21" t="n">
        <v>0</v>
      </c>
      <c r="D33" s="21" t="n">
        <f aca="false">NPV(Inputs!$C$31,$D$9:$AG$9)*Inputs!$C$31/(1-(1+Inputs!$C$31)^-30)*D4</f>
        <v>111302.31939208</v>
      </c>
      <c r="E33" s="21" t="n">
        <f aca="false">NPV(Inputs!$C$31,$D$9:$AG$9)*Inputs!$C$31/(1-(1+Inputs!$C$31)^-30)*E4</f>
        <v>113528.365779922</v>
      </c>
      <c r="F33" s="21" t="n">
        <f aca="false">NPV(Inputs!$C$31,$D$9:$AG$9)*Inputs!$C$31/(1-(1+Inputs!$C$31)^-30)*F4</f>
        <v>115798.93309552</v>
      </c>
      <c r="G33" s="21" t="n">
        <f aca="false">NPV(Inputs!$C$31,$D$9:$AG$9)*Inputs!$C$31/(1-(1+Inputs!$C$31)^-30)*G4</f>
        <v>118114.911757431</v>
      </c>
      <c r="H33" s="21" t="n">
        <f aca="false">NPV(Inputs!$C$31,$D$9:$AG$9)*Inputs!$C$31/(1-(1+Inputs!$C$31)^-30)*H4</f>
        <v>120477.209992579</v>
      </c>
      <c r="I33" s="21" t="n">
        <f aca="false">NPV(Inputs!$C$31,$D$9:$AG$9)*Inputs!$C$31/(1-(1+Inputs!$C$31)^-30)*I4</f>
        <v>122886.754192431</v>
      </c>
      <c r="J33" s="21" t="n">
        <f aca="false">NPV(Inputs!$C$31,$D$9:$AG$9)*Inputs!$C$31/(1-(1+Inputs!$C$31)^-30)*J4</f>
        <v>125344.489276279</v>
      </c>
      <c r="K33" s="21" t="n">
        <f aca="false">NPV(Inputs!$C$31,$D$9:$AG$9)*Inputs!$C$31/(1-(1+Inputs!$C$31)^-30)*K4</f>
        <v>127851.379061805</v>
      </c>
      <c r="L33" s="21" t="n">
        <f aca="false">NPV(Inputs!$C$31,$D$9:$AG$9)*Inputs!$C$31/(1-(1+Inputs!$C$31)^-30)*L4</f>
        <v>130408.406643041</v>
      </c>
      <c r="M33" s="21" t="n">
        <f aca="false">NPV(Inputs!$C$31,$D$9:$AG$9)*Inputs!$C$31/(1-(1+Inputs!$C$31)^-30)*M4</f>
        <v>133016.574775902</v>
      </c>
      <c r="N33" s="21" t="n">
        <f aca="false">NPV(Inputs!$C$31,$D$9:$AG$9)*Inputs!$C$31/(1-(1+Inputs!$C$31)^-30)*N4</f>
        <v>135676.90627142</v>
      </c>
      <c r="O33" s="21" t="n">
        <f aca="false">NPV(Inputs!$C$31,$D$9:$AG$9)*Inputs!$C$31/(1-(1+Inputs!$C$31)^-30)*O4</f>
        <v>138390.444396848</v>
      </c>
      <c r="P33" s="21" t="n">
        <f aca="false">NPV(Inputs!$C$31,$D$9:$AG$9)*Inputs!$C$31/(1-(1+Inputs!$C$31)^-30)*P4</f>
        <v>141158.253284785</v>
      </c>
      <c r="Q33" s="21" t="n">
        <f aca="false">NPV(Inputs!$C$31,$D$9:$AG$9)*Inputs!$C$31/(1-(1+Inputs!$C$31)^-30)*Q4</f>
        <v>143981.418350481</v>
      </c>
      <c r="R33" s="21" t="n">
        <f aca="false">NPV(Inputs!$C$31,$D$9:$AG$9)*Inputs!$C$31/(1-(1+Inputs!$C$31)^-30)*R4</f>
        <v>146861.046717491</v>
      </c>
      <c r="S33" s="21" t="n">
        <f aca="false">NPV(Inputs!$C$31,$D$9:$AG$9)*Inputs!$C$31/(1-(1+Inputs!$C$31)^-30)*S4</f>
        <v>149798.26765184</v>
      </c>
      <c r="T33" s="21" t="n">
        <f aca="false">NPV(Inputs!$C$31,$D$9:$AG$9)*Inputs!$C$31/(1-(1+Inputs!$C$31)^-30)*T4</f>
        <v>152794.233004877</v>
      </c>
      <c r="U33" s="21" t="n">
        <f aca="false">NPV(Inputs!$C$31,$D$9:$AG$9)*Inputs!$C$31/(1-(1+Inputs!$C$31)^-30)*U4</f>
        <v>155850.117664975</v>
      </c>
      <c r="V33" s="21" t="n">
        <f aca="false">NPV(Inputs!$C$31,$D$9:$AG$9)*Inputs!$C$31/(1-(1+Inputs!$C$31)^-30)*V4</f>
        <v>158967.120018274</v>
      </c>
      <c r="W33" s="21" t="n">
        <f aca="false">NPV(Inputs!$C$31,$D$9:$AG$9)*Inputs!$C$31/(1-(1+Inputs!$C$31)^-30)*W4</f>
        <v>162146.46241864</v>
      </c>
      <c r="X33" s="21" t="n">
        <f aca="false">NPV(Inputs!$C$31,$D$9:$AG$9)*Inputs!$C$31/(1-(1+Inputs!$C$31)^-30)*X4</f>
        <v>165389.391667013</v>
      </c>
      <c r="Y33" s="21" t="n">
        <f aca="false">NPV(Inputs!$C$31,$D$9:$AG$9)*Inputs!$C$31/(1-(1+Inputs!$C$31)^-30)*Y4</f>
        <v>168697.179500353</v>
      </c>
      <c r="Z33" s="21" t="n">
        <f aca="false">NPV(Inputs!$C$31,$D$9:$AG$9)*Inputs!$C$31/(1-(1+Inputs!$C$31)^-30)*Z4</f>
        <v>172071.12309036</v>
      </c>
      <c r="AA33" s="21" t="n">
        <f aca="false">NPV(Inputs!$C$31,$D$9:$AG$9)*Inputs!$C$31/(1-(1+Inputs!$C$31)^-30)*AA4</f>
        <v>175512.545552167</v>
      </c>
      <c r="AB33" s="21" t="n">
        <f aca="false">NPV(Inputs!$C$31,$D$9:$AG$9)*Inputs!$C$31/(1-(1+Inputs!$C$31)^-30)*AB4</f>
        <v>179022.79646321</v>
      </c>
      <c r="AC33" s="21" t="n">
        <f aca="false">NPV(Inputs!$C$31,$D$9:$AG$9)*Inputs!$C$31/(1-(1+Inputs!$C$31)^-30)*AC4</f>
        <v>182603.252392475</v>
      </c>
      <c r="AD33" s="21" t="n">
        <f aca="false">NPV(Inputs!$C$31,$D$9:$AG$9)*Inputs!$C$31/(1-(1+Inputs!$C$31)^-30)*AD4</f>
        <v>186255.317440324</v>
      </c>
      <c r="AE33" s="21" t="n">
        <f aca="false">NPV(Inputs!$C$31,$D$9:$AG$9)*Inputs!$C$31/(1-(1+Inputs!$C$31)^-30)*AE4</f>
        <v>189980.423789131</v>
      </c>
      <c r="AF33" s="21" t="n">
        <f aca="false">NPV(Inputs!$C$31,$D$9:$AG$9)*Inputs!$C$31/(1-(1+Inputs!$C$31)^-30)*AF4</f>
        <v>193780.032264913</v>
      </c>
      <c r="AG33" s="21" t="n">
        <f aca="false">NPV(Inputs!$C$31,$D$9:$AG$9)*Inputs!$C$31/(1-(1+Inputs!$C$31)^-30)*AG4</f>
        <v>197655.632910212</v>
      </c>
    </row>
    <row r="34" customFormat="false" ht="15" hidden="false" customHeight="false" outlineLevel="0" collapsed="false">
      <c r="A34" s="3" t="s">
        <v>151</v>
      </c>
      <c r="C34" s="21" t="n">
        <v>0</v>
      </c>
      <c r="D34" s="21" t="n">
        <f aca="false">D11-D30-D33-D32</f>
        <v>1088725.98259376</v>
      </c>
      <c r="E34" s="21" t="n">
        <f aca="false">E11-E30-E33-E32</f>
        <v>1872784.54513746</v>
      </c>
      <c r="F34" s="21" t="n">
        <f aca="false">F11-F30-F33-F32</f>
        <v>1910240.23604021</v>
      </c>
      <c r="G34" s="21" t="n">
        <f aca="false">G11-G30-G33-G32</f>
        <v>1948445.04076102</v>
      </c>
      <c r="H34" s="21" t="n">
        <f aca="false">H11-H30-H33-H32</f>
        <v>1987413.94157624</v>
      </c>
      <c r="I34" s="21" t="n">
        <f aca="false">I11-I30-I33-I32</f>
        <v>1943525.29545111</v>
      </c>
      <c r="J34" s="21" t="n">
        <f aca="false">J11-J30-J33-J32</f>
        <v>1618722.136787</v>
      </c>
      <c r="K34" s="21" t="n">
        <f aca="false">K11-K30-K33-K32</f>
        <v>1635626.80411531</v>
      </c>
      <c r="L34" s="21" t="n">
        <f aca="false">L11-L30-L33-L32</f>
        <v>1652741.57383957</v>
      </c>
      <c r="M34" s="21" t="n">
        <f aca="false">M11-M30-M33-M32</f>
        <v>1743744.60754127</v>
      </c>
      <c r="N34" s="21" t="n">
        <f aca="false">N11-N30-N33-N32</f>
        <v>1691409.89071969</v>
      </c>
      <c r="O34" s="21" t="n">
        <f aca="false">O11-O30-O33-O32</f>
        <v>1717937.11288728</v>
      </c>
      <c r="P34" s="21" t="n">
        <f aca="false">P11-P30-P33-P32</f>
        <v>1745208.8862529</v>
      </c>
      <c r="Q34" s="21" t="n">
        <f aca="false">Q11-Q30-Q33-Q32</f>
        <v>1773233.10626438</v>
      </c>
      <c r="R34" s="21" t="n">
        <f aca="false">R11-R30-R33-R32</f>
        <v>1986938.37372755</v>
      </c>
      <c r="S34" s="21" t="n">
        <f aca="false">S11-S30-S33-S32</f>
        <v>1841412.48902071</v>
      </c>
      <c r="T34" s="21" t="n">
        <f aca="false">T11-T30-T33-T32</f>
        <v>1876027.47334859</v>
      </c>
      <c r="U34" s="21" t="n">
        <f aca="false">U11-U30-U33-U32</f>
        <v>1911467.55329018</v>
      </c>
      <c r="V34" s="21" t="n">
        <f aca="false">V11-V30-V33-V32</f>
        <v>1947741.26300213</v>
      </c>
      <c r="W34" s="21" t="n">
        <f aca="false">W11-W30-W33-W32</f>
        <v>2154117.44630943</v>
      </c>
      <c r="X34" s="21" t="n">
        <f aca="false">X11-X30-X33-X32</f>
        <v>2031832.82778942</v>
      </c>
      <c r="Y34" s="21" t="n">
        <f aca="false">Y11-Y30-Y33-Y32</f>
        <v>2070124.68861557</v>
      </c>
      <c r="Z34" s="21" t="n">
        <f aca="false">Z11-Z30-Z33-Z32</f>
        <v>2109323.07440202</v>
      </c>
      <c r="AA34" s="21" t="n">
        <f aca="false">AA11-AA30-AA33-AA32</f>
        <v>2149437.67438335</v>
      </c>
      <c r="AB34" s="21" t="n">
        <f aca="false">AB11-AB30-AB33-AB32</f>
        <v>2700308.41125508</v>
      </c>
      <c r="AC34" s="21" t="n">
        <f aca="false">AC11-AC30-AC33-AC32</f>
        <v>2259584.5377248</v>
      </c>
      <c r="AD34" s="21" t="n">
        <f aca="false">AD11-AD30-AD33-AD32</f>
        <v>2300885.23114671</v>
      </c>
      <c r="AE34" s="21" t="n">
        <f aca="false">AE11-AE30-AE33-AE32</f>
        <v>2343245.398277</v>
      </c>
      <c r="AF34" s="21" t="n">
        <f aca="false">AF11-AF30-AF33-AF32</f>
        <v>2386672.22099946</v>
      </c>
      <c r="AG34" s="21" t="n">
        <f aca="false">AG11-AG30-AG33-AG32</f>
        <v>2658013.40172367</v>
      </c>
    </row>
    <row r="35" customFormat="false" ht="15" hidden="false" customHeight="false" outlineLevel="0" collapsed="false">
      <c r="A35" s="3" t="s">
        <v>152</v>
      </c>
      <c r="C35" s="20"/>
      <c r="D35" s="20" t="n">
        <f aca="false">IF(D26&gt;0,D34/D26,"")</f>
        <v>2.12512138652128</v>
      </c>
      <c r="E35" s="20" t="n">
        <f aca="false">IF(E26&gt;0,E34/E26,"")</f>
        <v>1.65243125976725</v>
      </c>
      <c r="F35" s="20" t="n">
        <f aca="false">IF(F26&gt;0,F34/F26,"")</f>
        <v>1.71496075786348</v>
      </c>
      <c r="G35" s="20" t="n">
        <f aca="false">IF(G26&gt;0,G34/G26,"")</f>
        <v>1.78040112139077</v>
      </c>
      <c r="H35" s="20" t="n">
        <f aca="false">IF(H26&gt;0,H34/H26,"")</f>
        <v>1.84892456816386</v>
      </c>
      <c r="I35" s="20" t="n">
        <f aca="false">IF(I26&gt;0,I34/I26,"")</f>
        <v>1.84147115041125</v>
      </c>
      <c r="J35" s="20" t="n">
        <f aca="false">IF(J26&gt;0,J34/J26,"")</f>
        <v>1.56256792227105</v>
      </c>
      <c r="K35" s="20" t="n">
        <f aca="false">IF(K26&gt;0,K34/K26,"")</f>
        <v>1.60914926470618</v>
      </c>
      <c r="L35" s="20" t="n">
        <f aca="false">IF(L26&gt;0,L34/L26,"")</f>
        <v>1.6577619277613</v>
      </c>
      <c r="M35" s="20" t="n">
        <f aca="false">IF(M26&gt;0,M34/M26,"")</f>
        <v>1.78390231150862</v>
      </c>
      <c r="N35" s="20" t="n">
        <f aca="false">IF(N26&gt;0,N34/N26,"")</f>
        <v>3.9085567600573</v>
      </c>
      <c r="O35" s="20" t="n">
        <f aca="false">IF(O26&gt;0,O34/O26,"")</f>
        <v>4.15701066271985</v>
      </c>
      <c r="P35" s="20" t="n">
        <f aca="false">IF(P26&gt;0,P34/P26,"")</f>
        <v>4.43194049726754</v>
      </c>
      <c r="Q35" s="20" t="n">
        <f aca="false">IF(Q26&gt;0,Q34/Q26,"")</f>
        <v>4.73750170190582</v>
      </c>
      <c r="R35" s="20" t="n">
        <f aca="false">IF(R26&gt;0,R34/R26,"")</f>
        <v>5.59993839275266</v>
      </c>
      <c r="S35" s="20" t="str">
        <f aca="false">IF(S26&gt;0,S34/S26,"")</f>
        <v/>
      </c>
      <c r="T35" s="20" t="str">
        <f aca="false">IF(T26&gt;0,T34/T26,"")</f>
        <v/>
      </c>
      <c r="U35" s="20" t="str">
        <f aca="false">IF(U26&gt;0,U34/U26,"")</f>
        <v/>
      </c>
      <c r="V35" s="20" t="str">
        <f aca="false">IF(V26&gt;0,V34/V26,"")</f>
        <v/>
      </c>
      <c r="W35" s="20" t="str">
        <f aca="false">IF(W26&gt;0,W34/W26,"")</f>
        <v/>
      </c>
      <c r="X35" s="20" t="str">
        <f aca="false">IF(X26&gt;0,X34/X26,"")</f>
        <v/>
      </c>
      <c r="Y35" s="20" t="str">
        <f aca="false">IF(Y26&gt;0,Y34/Y26,"")</f>
        <v/>
      </c>
      <c r="Z35" s="20" t="str">
        <f aca="false">IF(Z26&gt;0,Z34/Z26,"")</f>
        <v/>
      </c>
      <c r="AA35" s="20" t="str">
        <f aca="false">IF(AA26&gt;0,AA34/AA26,"")</f>
        <v/>
      </c>
      <c r="AB35" s="20" t="str">
        <f aca="false">IF(AB26&gt;0,AB34/AB26,"")</f>
        <v/>
      </c>
      <c r="AC35" s="20" t="str">
        <f aca="false">IF(AC26&gt;0,AC34/AC26,"")</f>
        <v/>
      </c>
      <c r="AD35" s="20" t="str">
        <f aca="false">IF(AD26&gt;0,AD34/AD26,"")</f>
        <v/>
      </c>
      <c r="AE35" s="20" t="str">
        <f aca="false">IF(AE26&gt;0,AE34/AE26,"")</f>
        <v/>
      </c>
      <c r="AF35" s="20" t="str">
        <f aca="false">IF(AF26&gt;0,AF34/AF26,"")</f>
        <v/>
      </c>
      <c r="AG35" s="20" t="str">
        <f aca="false">IF(AG26&gt;0,AG34/AG26,"")</f>
        <v/>
      </c>
    </row>
    <row r="36" customFormat="false" ht="15" hidden="false" customHeight="false" outlineLevel="0" collapsed="false">
      <c r="A36" s="13" t="s">
        <v>153</v>
      </c>
      <c r="C36" s="21" t="n">
        <f aca="false">Inputs!$C$30/12*MAX(D26,E26)</f>
        <v>566675.47713944</v>
      </c>
      <c r="D36" s="21" t="n">
        <f aca="false">Inputs!$C$30/12*E26</f>
        <v>566675.47713944</v>
      </c>
      <c r="E36" s="21" t="n">
        <f aca="false">Inputs!$C$30/12*F26</f>
        <v>556934.095220936</v>
      </c>
      <c r="F36" s="21" t="n">
        <f aca="false">Inputs!$C$30/12*G26</f>
        <v>547192.713302431</v>
      </c>
      <c r="G36" s="21" t="n">
        <f aca="false">Inputs!$C$30/12*H26</f>
        <v>537451.331383927</v>
      </c>
      <c r="H36" s="21" t="n">
        <f aca="false">Inputs!$C$30/12*I26</f>
        <v>527709.949465423</v>
      </c>
      <c r="I36" s="21" t="n">
        <f aca="false">Inputs!$C$30/12*J26</f>
        <v>517968.567546919</v>
      </c>
      <c r="J36" s="21" t="n">
        <f aca="false">Inputs!$C$30/12*K26</f>
        <v>508227.185628414</v>
      </c>
      <c r="K36" s="21" t="n">
        <f aca="false">Inputs!$C$30/12*L26</f>
        <v>498485.80370991</v>
      </c>
      <c r="L36" s="21" t="n">
        <f aca="false">Inputs!$C$30/12*M26</f>
        <v>488744.421791406</v>
      </c>
      <c r="M36" s="21" t="n">
        <f aca="false">Inputs!$C$30/12*N26</f>
        <v>216372.691322371</v>
      </c>
      <c r="N36" s="21" t="n">
        <f aca="false">Inputs!$C$30/12*O26</f>
        <v>206631.309403867</v>
      </c>
      <c r="O36" s="21" t="n">
        <f aca="false">Inputs!$C$30/12*P26</f>
        <v>196889.927485363</v>
      </c>
      <c r="P36" s="21" t="n">
        <f aca="false">Inputs!$C$30/12*Q26</f>
        <v>187148.545566858</v>
      </c>
      <c r="Q36" s="21" t="n">
        <f aca="false">Inputs!$C$30/12*R26</f>
        <v>177407.163648354</v>
      </c>
      <c r="R36" s="21" t="n">
        <f aca="false">Inputs!$C$30/12*S26</f>
        <v>0</v>
      </c>
      <c r="S36" s="21" t="n">
        <f aca="false">Inputs!$C$30/12*T26</f>
        <v>0</v>
      </c>
      <c r="T36" s="21" t="n">
        <f aca="false">Inputs!$C$30/12*U26</f>
        <v>0</v>
      </c>
      <c r="U36" s="21" t="n">
        <f aca="false">Inputs!$C$30/12*V26</f>
        <v>0</v>
      </c>
      <c r="V36" s="21" t="n">
        <f aca="false">Inputs!$C$30/12*W26</f>
        <v>0</v>
      </c>
      <c r="W36" s="21" t="n">
        <f aca="false">Inputs!$C$30/12*X26</f>
        <v>0</v>
      </c>
      <c r="X36" s="21" t="n">
        <f aca="false">Inputs!$C$30/12*Y26</f>
        <v>0</v>
      </c>
      <c r="Y36" s="21" t="n">
        <f aca="false">Inputs!$C$30/12*Z26</f>
        <v>0</v>
      </c>
      <c r="Z36" s="21" t="n">
        <f aca="false">Inputs!$C$30/12*AA26</f>
        <v>0</v>
      </c>
      <c r="AA36" s="21" t="n">
        <f aca="false">Inputs!$C$30/12*AB26</f>
        <v>0</v>
      </c>
      <c r="AB36" s="21" t="n">
        <f aca="false">Inputs!$C$30/12*AC26</f>
        <v>0</v>
      </c>
      <c r="AC36" s="21" t="n">
        <f aca="false">Inputs!$C$30/12*AD26</f>
        <v>0</v>
      </c>
      <c r="AD36" s="21" t="n">
        <f aca="false">Inputs!$C$30/12*AE26</f>
        <v>0</v>
      </c>
      <c r="AE36" s="21" t="n">
        <f aca="false">Inputs!$C$30/12*AF26</f>
        <v>0</v>
      </c>
      <c r="AF36" s="21" t="n">
        <f aca="false">Inputs!$C$30/12*AG26</f>
        <v>0</v>
      </c>
      <c r="AG36" s="21" t="n">
        <v>0</v>
      </c>
    </row>
    <row r="37" customFormat="false" ht="15" hidden="false" customHeight="false" outlineLevel="0" collapsed="false">
      <c r="A37" s="13" t="s">
        <v>154</v>
      </c>
      <c r="C37" s="21" t="n">
        <f aca="false">C36-0</f>
        <v>566675.47713944</v>
      </c>
      <c r="D37" s="21" t="n">
        <f aca="false">D36-C36</f>
        <v>0</v>
      </c>
      <c r="E37" s="21" t="n">
        <f aca="false">E36-D36</f>
        <v>-9741.38191850425</v>
      </c>
      <c r="F37" s="21" t="n">
        <f aca="false">F36-E36</f>
        <v>-9741.38191850437</v>
      </c>
      <c r="G37" s="21" t="n">
        <f aca="false">G36-F36</f>
        <v>-9741.38191850414</v>
      </c>
      <c r="H37" s="21" t="n">
        <f aca="false">H36-G36</f>
        <v>-9741.38191850437</v>
      </c>
      <c r="I37" s="21" t="n">
        <f aca="false">I36-H36</f>
        <v>-9741.38191850425</v>
      </c>
      <c r="J37" s="21" t="n">
        <f aca="false">J36-I36</f>
        <v>-9741.38191850425</v>
      </c>
      <c r="K37" s="21" t="n">
        <f aca="false">K36-J36</f>
        <v>-9741.38191850425</v>
      </c>
      <c r="L37" s="21" t="n">
        <f aca="false">L36-K36</f>
        <v>-9741.38191850425</v>
      </c>
      <c r="M37" s="21" t="n">
        <f aca="false">M36-L36</f>
        <v>-272371.730469035</v>
      </c>
      <c r="N37" s="21" t="n">
        <f aca="false">N36-M36</f>
        <v>-9741.38191850428</v>
      </c>
      <c r="O37" s="21" t="n">
        <f aca="false">O36-N36</f>
        <v>-9741.38191850428</v>
      </c>
      <c r="P37" s="21" t="n">
        <f aca="false">P36-O36</f>
        <v>-9741.38191850425</v>
      </c>
      <c r="Q37" s="21" t="n">
        <f aca="false">Q36-P36</f>
        <v>-9741.38191850428</v>
      </c>
      <c r="R37" s="21" t="n">
        <f aca="false">R36-Q36</f>
        <v>-177407.163648354</v>
      </c>
      <c r="S37" s="21" t="n">
        <f aca="false">S36-R36</f>
        <v>0</v>
      </c>
      <c r="T37" s="21" t="n">
        <f aca="false">T36-S36</f>
        <v>0</v>
      </c>
      <c r="U37" s="21" t="n">
        <f aca="false">U36-T36</f>
        <v>0</v>
      </c>
      <c r="V37" s="21" t="n">
        <f aca="false">V36-U36</f>
        <v>0</v>
      </c>
      <c r="W37" s="21" t="n">
        <f aca="false">W36-V36</f>
        <v>0</v>
      </c>
      <c r="X37" s="21" t="n">
        <f aca="false">X36-W36</f>
        <v>0</v>
      </c>
      <c r="Y37" s="21" t="n">
        <f aca="false">Y36-X36</f>
        <v>0</v>
      </c>
      <c r="Z37" s="21" t="n">
        <f aca="false">Z36-Y36</f>
        <v>0</v>
      </c>
      <c r="AA37" s="21" t="n">
        <f aca="false">AA36-Z36</f>
        <v>0</v>
      </c>
      <c r="AB37" s="21" t="n">
        <f aca="false">AB36-AA36</f>
        <v>0</v>
      </c>
      <c r="AC37" s="21" t="n">
        <f aca="false">AC36-AB36</f>
        <v>0</v>
      </c>
      <c r="AD37" s="21" t="n">
        <f aca="false">AD36-AC36</f>
        <v>0</v>
      </c>
      <c r="AE37" s="21" t="n">
        <f aca="false">AE36-AD36</f>
        <v>0</v>
      </c>
      <c r="AF37" s="21" t="n">
        <f aca="false">AF36-AE36</f>
        <v>0</v>
      </c>
      <c r="AG37" s="21" t="n">
        <f aca="false">AG36-AF36</f>
        <v>0</v>
      </c>
    </row>
    <row r="38" customFormat="false" ht="15" hidden="false" customHeight="false" outlineLevel="0" collapsed="false">
      <c r="A38" s="3" t="s">
        <v>155</v>
      </c>
      <c r="C38" s="21" t="n">
        <f aca="false">-(SUM(Inputs!$C$36:$C$52)*Inputs!$C$11-C20-C23-Inputs!$C$26)-C32-C37-C20*Inputs!$C$20-C23*Inputs!$C$25</f>
        <v>-4343008.16403581</v>
      </c>
      <c r="D38" s="21" t="n">
        <f aca="false">D11-D13-D30-D26-D32-D37+D14</f>
        <v>687715.927973193</v>
      </c>
      <c r="E38" s="21" t="n">
        <f aca="false">E11-E13-E30-E26-E32-E37+E14</f>
        <v>862703.33855701</v>
      </c>
      <c r="F38" s="21" t="n">
        <f aca="false">F11-F13-F30-F26-F32-F37+F14</f>
        <v>921912.360612366</v>
      </c>
      <c r="G38" s="21" t="n">
        <f aca="false">G11-G13-G30-G26-G32-G37+G14</f>
        <v>981915.907832089</v>
      </c>
      <c r="H38" s="21" t="n">
        <f aca="false">H11-H13-H30-H26-H32-H37+H14</f>
        <v>1042729.87071947</v>
      </c>
      <c r="I38" s="21" t="n">
        <f aca="false">I11-I13-I30-I26-I32-I37+I14</f>
        <v>1020733.5326312</v>
      </c>
      <c r="J38" s="21" t="n">
        <f aca="false">J11-J13-J30-J26-J32-J37+J14</f>
        <v>717870.872887945</v>
      </c>
      <c r="K38" s="21" t="n">
        <f aca="false">K11-K13-K30-K26-K32-K37+K14</f>
        <v>756765.193838789</v>
      </c>
      <c r="L38" s="21" t="n">
        <f aca="false">L11-L13-L30-L26-L32-L37+L14</f>
        <v>795919.75498129</v>
      </c>
      <c r="M38" s="21" t="n">
        <f aca="false">M11-M13-M30-M26-M32-M37+M14</f>
        <v>615372.242645223</v>
      </c>
      <c r="N38" s="21" t="n">
        <f aca="false">N11-N13-N30-N26-N32-N37+N14</f>
        <v>1404082.79626487</v>
      </c>
      <c r="O38" s="21" t="n">
        <f aca="false">O11-O13-O30-O26-O32-O37+O14</f>
        <v>1452806.3203949</v>
      </c>
      <c r="P38" s="21" t="n">
        <f aca="false">P11-P13-P30-P26-P32-P37+P14</f>
        <v>1502328.66648546</v>
      </c>
      <c r="Q38" s="21" t="n">
        <f aca="false">Q11-Q13-Q30-Q26-Q32-Q37+Q14</f>
        <v>1552658.81539965</v>
      </c>
      <c r="R38" s="21" t="n">
        <f aca="false">R11-R13-R30-R26-R32-R37+R14</f>
        <v>560768.651404554</v>
      </c>
      <c r="S38" s="21" t="n">
        <f aca="false">S11-S13-S30-S26-S32-S37+S14</f>
        <v>1991210.75667255</v>
      </c>
      <c r="T38" s="21" t="n">
        <f aca="false">T11-T13-T30-T26-T32-T37+T14</f>
        <v>2028821.70635347</v>
      </c>
      <c r="U38" s="21" t="n">
        <f aca="false">U11-U13-U30-U26-U32-U37+U14</f>
        <v>2067317.67095516</v>
      </c>
      <c r="V38" s="21" t="n">
        <f aca="false">V11-V13-V30-V26-V32-V37+V14</f>
        <v>2106708.38302041</v>
      </c>
      <c r="W38" s="21" t="n">
        <f aca="false">W11-W13-W30-W26-W32-W37+W14</f>
        <v>1038832.5055592</v>
      </c>
      <c r="X38" s="21" t="n">
        <f aca="false">X11-X13-X30-X26-X32-X37+X14</f>
        <v>2197222.21945643</v>
      </c>
      <c r="Y38" s="21" t="n">
        <f aca="false">Y11-Y13-Y30-Y26-Y32-Y37+Y14</f>
        <v>2238821.86811592</v>
      </c>
      <c r="Z38" s="21" t="n">
        <f aca="false">Z11-Z13-Z30-Z26-Z32-Z37+Z14</f>
        <v>2281394.19749238</v>
      </c>
      <c r="AA38" s="21" t="n">
        <f aca="false">AA11-AA13-AA30-AA26-AA32-AA37+AA14</f>
        <v>2324950.21993552</v>
      </c>
      <c r="AB38" s="21" t="n">
        <f aca="false">AB11-AB13-AB30-AB26-AB32-AB37+AB14</f>
        <v>-968438.854171267</v>
      </c>
      <c r="AC38" s="21" t="n">
        <f aca="false">AC11-AC13-AC30-AC26-AC32-AC37+AC14</f>
        <v>2442187.79011728</v>
      </c>
      <c r="AD38" s="21" t="n">
        <f aca="false">AD11-AD13-AD30-AD26-AD32-AD37+AD14</f>
        <v>2487140.54858703</v>
      </c>
      <c r="AE38" s="21" t="n">
        <f aca="false">AE11-AE13-AE30-AE26-AE32-AE37+AE14</f>
        <v>2533225.82206613</v>
      </c>
      <c r="AF38" s="21" t="n">
        <f aca="false">AF11-AF13-AF30-AF26-AF32-AF37+AF14</f>
        <v>2580452.25326438</v>
      </c>
      <c r="AG38" s="21" t="n">
        <f aca="false">AG11-AG13-AG30-AG26-AG32-AG37+AG14</f>
        <v>6619563.82313117</v>
      </c>
    </row>
    <row r="39" customFormat="false" ht="15" hidden="false" customHeight="false" outlineLevel="0" collapsed="false">
      <c r="A39" s="13" t="s">
        <v>156</v>
      </c>
      <c r="C39" s="21" t="n">
        <f aca="false">0+C38</f>
        <v>-4343008.16403581</v>
      </c>
      <c r="D39" s="21" t="n">
        <f aca="false">C39+D38</f>
        <v>-3655292.23606262</v>
      </c>
      <c r="E39" s="21" t="n">
        <f aca="false">D39+E38</f>
        <v>-2792588.89750561</v>
      </c>
      <c r="F39" s="21" t="n">
        <f aca="false">E39+F38</f>
        <v>-1870676.53689324</v>
      </c>
      <c r="G39" s="21" t="n">
        <f aca="false">F39+G38</f>
        <v>-888760.629061155</v>
      </c>
      <c r="H39" s="21" t="n">
        <f aca="false">G39+H38</f>
        <v>153969.241658312</v>
      </c>
      <c r="I39" s="21" t="n">
        <f aca="false">H39+I38</f>
        <v>1174702.77428951</v>
      </c>
      <c r="J39" s="21" t="n">
        <f aca="false">I39+J38</f>
        <v>1892573.64717746</v>
      </c>
      <c r="K39" s="21" t="n">
        <f aca="false">J39+K38</f>
        <v>2649338.84101624</v>
      </c>
      <c r="L39" s="21" t="n">
        <f aca="false">K39+L38</f>
        <v>3445258.59599753</v>
      </c>
      <c r="M39" s="21" t="n">
        <f aca="false">L39+M38</f>
        <v>4060630.83864276</v>
      </c>
      <c r="N39" s="21" t="n">
        <f aca="false">M39+N38</f>
        <v>5464713.63490763</v>
      </c>
      <c r="O39" s="21" t="n">
        <f aca="false">N39+O38</f>
        <v>6917519.95530253</v>
      </c>
      <c r="P39" s="21" t="n">
        <f aca="false">O39+P38</f>
        <v>8419848.62178799</v>
      </c>
      <c r="Q39" s="21" t="n">
        <f aca="false">P39+Q38</f>
        <v>9972507.43718764</v>
      </c>
      <c r="R39" s="21" t="n">
        <f aca="false">Q39+R38</f>
        <v>10533276.0885922</v>
      </c>
      <c r="S39" s="21" t="n">
        <f aca="false">R39+S38</f>
        <v>12524486.8452647</v>
      </c>
      <c r="T39" s="21" t="n">
        <f aca="false">S39+T38</f>
        <v>14553308.5516182</v>
      </c>
      <c r="U39" s="21" t="n">
        <f aca="false">T39+U38</f>
        <v>16620626.2225734</v>
      </c>
      <c r="V39" s="21" t="n">
        <f aca="false">U39+V38</f>
        <v>18727334.6055938</v>
      </c>
      <c r="W39" s="21" t="n">
        <f aca="false">V39+W38</f>
        <v>19766167.111153</v>
      </c>
      <c r="X39" s="21" t="n">
        <f aca="false">W39+X38</f>
        <v>21963389.3306094</v>
      </c>
      <c r="Y39" s="21" t="n">
        <f aca="false">X39+Y38</f>
        <v>24202211.1987253</v>
      </c>
      <c r="Z39" s="21" t="n">
        <f aca="false">Y39+Z38</f>
        <v>26483605.3962177</v>
      </c>
      <c r="AA39" s="21" t="n">
        <f aca="false">Z39+AA38</f>
        <v>28808555.6161532</v>
      </c>
      <c r="AB39" s="21" t="n">
        <f aca="false">AA39+AB38</f>
        <v>27840116.761982</v>
      </c>
      <c r="AC39" s="21" t="n">
        <f aca="false">AB39+AC38</f>
        <v>30282304.5520992</v>
      </c>
      <c r="AD39" s="21" t="n">
        <f aca="false">AC39+AD38</f>
        <v>32769445.1006863</v>
      </c>
      <c r="AE39" s="21" t="n">
        <f aca="false">AD39+AE38</f>
        <v>35302670.9227524</v>
      </c>
      <c r="AF39" s="21" t="n">
        <f aca="false">AE39+AF38</f>
        <v>37883123.1760168</v>
      </c>
      <c r="AG39" s="21" t="n">
        <f aca="false">AF39+AG38</f>
        <v>44502686.9991479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2026-10-07T14:50:13Z</dcterms:created>
  <dc:creator>openpyxl</dc:creator>
  <dc:description/>
  <dc:language>en-US</dc:language>
  <cp:lastModifiedBy/>
  <dcterms:modified xsi:type="dcterms:W3CDTF">2026-10-07T14:50:13Z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