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ser_mclellan_studio_unibo_it/Documents/"/>
    </mc:Choice>
  </mc:AlternateContent>
  <xr:revisionPtr revIDLastSave="102" documentId="8_{E80C9BD2-7702-4752-B9A3-0155160CA17A}" xr6:coauthVersionLast="47" xr6:coauthVersionMax="47" xr10:uidLastSave="{D25E699A-F381-49EB-9571-6515E2AA3D5F}"/>
  <bookViews>
    <workbookView xWindow="-110" yWindow="-110" windowWidth="19420" windowHeight="10300" xr2:uid="{33F92389-65BE-4B24-81D9-171D85DAF1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B26" i="1"/>
  <c r="C23" i="1"/>
  <c r="D23" i="1"/>
  <c r="E23" i="1"/>
  <c r="F23" i="1"/>
  <c r="G23" i="1"/>
  <c r="H23" i="1"/>
  <c r="I23" i="1"/>
  <c r="J23" i="1"/>
  <c r="K23" i="1"/>
  <c r="L23" i="1"/>
  <c r="M23" i="1"/>
  <c r="B23" i="1"/>
  <c r="C20" i="1"/>
  <c r="D20" i="1"/>
  <c r="E20" i="1"/>
  <c r="F20" i="1"/>
  <c r="G20" i="1"/>
  <c r="H20" i="1"/>
  <c r="I20" i="1"/>
  <c r="J20" i="1"/>
  <c r="K20" i="1"/>
  <c r="L20" i="1"/>
  <c r="M20" i="1"/>
  <c r="B20" i="1"/>
  <c r="C17" i="1"/>
  <c r="D17" i="1"/>
  <c r="E17" i="1"/>
  <c r="F17" i="1"/>
  <c r="G17" i="1"/>
  <c r="H17" i="1"/>
  <c r="I17" i="1"/>
  <c r="J17" i="1"/>
  <c r="K17" i="1"/>
  <c r="L17" i="1"/>
  <c r="M17" i="1"/>
  <c r="B17" i="1"/>
  <c r="C14" i="1"/>
  <c r="D14" i="1"/>
  <c r="E14" i="1"/>
  <c r="F14" i="1"/>
  <c r="G14" i="1"/>
  <c r="H14" i="1"/>
  <c r="I14" i="1"/>
  <c r="J14" i="1"/>
  <c r="K14" i="1"/>
  <c r="L14" i="1"/>
  <c r="M14" i="1"/>
  <c r="B14" i="1"/>
  <c r="N33" i="1" l="1"/>
  <c r="Q2" i="1"/>
  <c r="B31" i="1"/>
  <c r="C31" i="1"/>
  <c r="D31" i="1"/>
  <c r="E31" i="1"/>
  <c r="F31" i="1"/>
  <c r="G31" i="1"/>
  <c r="H31" i="1"/>
  <c r="I31" i="1"/>
  <c r="J31" i="1"/>
  <c r="K31" i="1"/>
  <c r="L31" i="1"/>
  <c r="M31" i="1"/>
  <c r="C27" i="1"/>
  <c r="D27" i="1"/>
  <c r="E27" i="1"/>
  <c r="F27" i="1"/>
  <c r="G27" i="1"/>
  <c r="H27" i="1"/>
  <c r="I27" i="1"/>
  <c r="J27" i="1"/>
  <c r="K27" i="1"/>
  <c r="L27" i="1"/>
  <c r="M27" i="1"/>
  <c r="B27" i="1"/>
  <c r="C24" i="1"/>
  <c r="D24" i="1"/>
  <c r="E24" i="1"/>
  <c r="F24" i="1"/>
  <c r="G24" i="1"/>
  <c r="H24" i="1"/>
  <c r="I24" i="1"/>
  <c r="J24" i="1"/>
  <c r="K24" i="1"/>
  <c r="L24" i="1"/>
  <c r="M24" i="1"/>
  <c r="B24" i="1"/>
  <c r="C21" i="1"/>
  <c r="D21" i="1"/>
  <c r="E21" i="1"/>
  <c r="F21" i="1"/>
  <c r="G21" i="1"/>
  <c r="H21" i="1"/>
  <c r="I21" i="1"/>
  <c r="J21" i="1"/>
  <c r="K21" i="1"/>
  <c r="L21" i="1"/>
  <c r="M21" i="1"/>
  <c r="B21" i="1"/>
  <c r="C18" i="1"/>
  <c r="D18" i="1"/>
  <c r="E18" i="1"/>
  <c r="F18" i="1"/>
  <c r="G18" i="1"/>
  <c r="H18" i="1"/>
  <c r="I18" i="1"/>
  <c r="J18" i="1"/>
  <c r="K18" i="1"/>
  <c r="L18" i="1"/>
  <c r="M18" i="1"/>
  <c r="B18" i="1"/>
  <c r="C11" i="1"/>
  <c r="D11" i="1"/>
  <c r="E11" i="1"/>
  <c r="F11" i="1"/>
  <c r="G11" i="1"/>
  <c r="H11" i="1"/>
  <c r="I11" i="1"/>
  <c r="J11" i="1"/>
  <c r="K11" i="1"/>
  <c r="L11" i="1"/>
  <c r="M11" i="1"/>
  <c r="B11" i="1"/>
  <c r="C4" i="1"/>
  <c r="D4" i="1"/>
  <c r="E4" i="1"/>
  <c r="F4" i="1"/>
  <c r="G4" i="1"/>
  <c r="H4" i="1"/>
  <c r="I4" i="1"/>
  <c r="J4" i="1"/>
  <c r="K4" i="1"/>
  <c r="L4" i="1"/>
  <c r="M4" i="1"/>
  <c r="E16" i="1" l="1"/>
  <c r="G13" i="1"/>
  <c r="G22" i="1" s="1"/>
  <c r="H13" i="1"/>
  <c r="I13" i="1"/>
  <c r="J13" i="1"/>
  <c r="C12" i="1"/>
  <c r="C13" i="1" s="1"/>
  <c r="D12" i="1"/>
  <c r="D13" i="1" s="1"/>
  <c r="D19" i="1" s="1"/>
  <c r="D34" i="1" s="1"/>
  <c r="E12" i="1"/>
  <c r="E13" i="1" s="1"/>
  <c r="E19" i="1" s="1"/>
  <c r="E34" i="1" s="1"/>
  <c r="F12" i="1"/>
  <c r="F13" i="1" s="1"/>
  <c r="F19" i="1" s="1"/>
  <c r="F34" i="1" s="1"/>
  <c r="G12" i="1"/>
  <c r="H12" i="1"/>
  <c r="I12" i="1"/>
  <c r="J12" i="1"/>
  <c r="K12" i="1"/>
  <c r="K13" i="1" s="1"/>
  <c r="L12" i="1"/>
  <c r="L13" i="1" s="1"/>
  <c r="L25" i="1" s="1"/>
  <c r="M12" i="1"/>
  <c r="M13" i="1" s="1"/>
  <c r="B12" i="1"/>
  <c r="B13" i="1" s="1"/>
  <c r="B22" i="1" s="1"/>
  <c r="D25" i="1"/>
  <c r="F22" i="1"/>
  <c r="N3" i="1"/>
  <c r="N5" i="1"/>
  <c r="N7" i="1"/>
  <c r="N8" i="1"/>
  <c r="N9" i="1"/>
  <c r="N10" i="1"/>
  <c r="C6" i="1"/>
  <c r="D6" i="1"/>
  <c r="E6" i="1"/>
  <c r="F6" i="1"/>
  <c r="G6" i="1"/>
  <c r="H6" i="1"/>
  <c r="I6" i="1"/>
  <c r="J6" i="1"/>
  <c r="K6" i="1"/>
  <c r="L6" i="1"/>
  <c r="M6" i="1"/>
  <c r="B4" i="1"/>
  <c r="N2" i="1"/>
  <c r="K22" i="1" l="1"/>
  <c r="K35" i="1" s="1"/>
  <c r="K19" i="1"/>
  <c r="K34" i="1" s="1"/>
  <c r="K16" i="1"/>
  <c r="C19" i="1"/>
  <c r="C34" i="1" s="1"/>
  <c r="C16" i="1"/>
  <c r="C22" i="1"/>
  <c r="C35" i="1" s="1"/>
  <c r="F16" i="1"/>
  <c r="F32" i="1" s="1"/>
  <c r="L19" i="1"/>
  <c r="L34" i="1" s="1"/>
  <c r="L22" i="1"/>
  <c r="L35" i="1" s="1"/>
  <c r="J19" i="1"/>
  <c r="J34" i="1" s="1"/>
  <c r="J16" i="1"/>
  <c r="I22" i="1"/>
  <c r="I19" i="1"/>
  <c r="I16" i="1"/>
  <c r="I32" i="1" s="1"/>
  <c r="D16" i="1"/>
  <c r="D32" i="1" s="1"/>
  <c r="E22" i="1"/>
  <c r="E35" i="1" s="1"/>
  <c r="D22" i="1"/>
  <c r="D35" i="1" s="1"/>
  <c r="H19" i="1"/>
  <c r="H34" i="1" s="1"/>
  <c r="H16" i="1"/>
  <c r="E25" i="1"/>
  <c r="E36" i="1" s="1"/>
  <c r="B16" i="1"/>
  <c r="B32" i="1" s="1"/>
  <c r="M25" i="1"/>
  <c r="M36" i="1" s="1"/>
  <c r="M16" i="1"/>
  <c r="B19" i="1"/>
  <c r="L16" i="1"/>
  <c r="L32" i="1" s="1"/>
  <c r="G16" i="1"/>
  <c r="G19" i="1"/>
  <c r="G34" i="1" s="1"/>
  <c r="E32" i="1"/>
  <c r="L36" i="1"/>
  <c r="I25" i="1"/>
  <c r="I35" i="1"/>
  <c r="J32" i="1"/>
  <c r="J22" i="1"/>
  <c r="K25" i="1"/>
  <c r="F35" i="1"/>
  <c r="F25" i="1"/>
  <c r="D36" i="1"/>
  <c r="G25" i="1"/>
  <c r="G32" i="1"/>
  <c r="H22" i="1"/>
  <c r="I34" i="1"/>
  <c r="B25" i="1"/>
  <c r="B34" i="1"/>
  <c r="G35" i="1"/>
  <c r="H32" i="1"/>
  <c r="B35" i="1"/>
  <c r="N4" i="1"/>
  <c r="N11" i="1"/>
  <c r="M32" i="1"/>
  <c r="N12" i="1"/>
  <c r="B6" i="1"/>
  <c r="N6" i="1" s="1"/>
  <c r="K32" i="1"/>
  <c r="C32" i="1"/>
  <c r="N34" i="1" l="1"/>
  <c r="N32" i="1"/>
  <c r="E38" i="1"/>
  <c r="E39" i="1" s="1"/>
  <c r="E41" i="1" s="1"/>
  <c r="E42" i="1" s="1"/>
  <c r="M22" i="1"/>
  <c r="M35" i="1" s="1"/>
  <c r="C25" i="1"/>
  <c r="C36" i="1" s="1"/>
  <c r="C38" i="1" s="1"/>
  <c r="C39" i="1" s="1"/>
  <c r="C41" i="1" s="1"/>
  <c r="C42" i="1" s="1"/>
  <c r="D38" i="1"/>
  <c r="D39" i="1" s="1"/>
  <c r="D41" i="1" s="1"/>
  <c r="D42" i="1" s="1"/>
  <c r="M19" i="1"/>
  <c r="M34" i="1" s="1"/>
  <c r="L38" i="1"/>
  <c r="L39" i="1" s="1"/>
  <c r="L41" i="1" s="1"/>
  <c r="L42" i="1" s="1"/>
  <c r="J35" i="1"/>
  <c r="J25" i="1"/>
  <c r="G36" i="1"/>
  <c r="G38" i="1" s="1"/>
  <c r="G39" i="1" s="1"/>
  <c r="G41" i="1" s="1"/>
  <c r="G42" i="1" s="1"/>
  <c r="F36" i="1"/>
  <c r="F38" i="1" s="1"/>
  <c r="F39" i="1" s="1"/>
  <c r="F41" i="1" s="1"/>
  <c r="F42" i="1" s="1"/>
  <c r="H35" i="1"/>
  <c r="N35" i="1" s="1"/>
  <c r="H25" i="1"/>
  <c r="I36" i="1"/>
  <c r="I38" i="1" s="1"/>
  <c r="I39" i="1" s="1"/>
  <c r="I41" i="1" s="1"/>
  <c r="I42" i="1" s="1"/>
  <c r="K36" i="1"/>
  <c r="K38" i="1" s="1"/>
  <c r="K39" i="1" s="1"/>
  <c r="K41" i="1" s="1"/>
  <c r="K42" i="1" s="1"/>
  <c r="B36" i="1"/>
  <c r="B38" i="1" l="1"/>
  <c r="B39" i="1" s="1"/>
  <c r="B41" i="1" s="1"/>
  <c r="B42" i="1" s="1"/>
  <c r="N36" i="1"/>
  <c r="P32" i="1" s="1"/>
  <c r="P43" i="1"/>
  <c r="M38" i="1"/>
  <c r="M39" i="1" s="1"/>
  <c r="M41" i="1" s="1"/>
  <c r="M42" i="1" s="1"/>
  <c r="H36" i="1"/>
  <c r="H38" i="1" s="1"/>
  <c r="H39" i="1" s="1"/>
  <c r="H41" i="1" s="1"/>
  <c r="H42" i="1" s="1"/>
  <c r="J36" i="1"/>
  <c r="J38" i="1" s="1"/>
  <c r="J39" i="1" s="1"/>
  <c r="J41" i="1" s="1"/>
  <c r="J42" i="1" s="1"/>
  <c r="P42" i="1" l="1"/>
  <c r="B40" i="1"/>
  <c r="B43" i="1" s="1"/>
</calcChain>
</file>

<file path=xl/sharedStrings.xml><?xml version="1.0" encoding="utf-8"?>
<sst xmlns="http://schemas.openxmlformats.org/spreadsheetml/2006/main" count="50" uniqueCount="44">
  <si>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</si>
  <si>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</si>
  <si>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</si>
  <si>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</si>
  <si>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</si>
  <si>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</si>
  <si>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</si>
  <si>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</si>
  <si>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</si>
  <si>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Octo</t>
  </si>
  <si>
    <t>Nov</t>
  </si>
  <si>
    <t>Dec</t>
  </si>
  <si>
    <t>Required lighting (h)</t>
  </si>
  <si>
    <t>Total solar prod (kWh)</t>
  </si>
  <si>
    <t>Require kwh for lighting</t>
  </si>
  <si>
    <t>Power of light (W)</t>
  </si>
  <si>
    <t>days in the month</t>
  </si>
  <si>
    <t>Total</t>
  </si>
  <si>
    <t>Remaining Energy (kWh)</t>
  </si>
  <si>
    <t>Rainfall (L/m^2)</t>
  </si>
  <si>
    <t>Left over water (L)</t>
  </si>
  <si>
    <t>Height of water (m)</t>
  </si>
  <si>
    <t>distance to level 2 (m)</t>
  </si>
  <si>
    <t>new water height (m)</t>
  </si>
  <si>
    <t>distance to level 3 (m)</t>
  </si>
  <si>
    <t>New volume (L)</t>
  </si>
  <si>
    <t>Distance to level 4 (m)</t>
  </si>
  <si>
    <t>distance to level 1 (m)</t>
  </si>
  <si>
    <t>Flow rate = V/t</t>
  </si>
  <si>
    <t>P = (rho*g*h*Q)/e (kW)</t>
  </si>
  <si>
    <t>Pump requirements L4</t>
  </si>
  <si>
    <t>P_3 (kW)</t>
  </si>
  <si>
    <t>P_2 (kW)</t>
  </si>
  <si>
    <t>P_1 (kW)</t>
  </si>
  <si>
    <t>P_T/day (kWh)</t>
  </si>
  <si>
    <t>P_T/month</t>
  </si>
  <si>
    <t>P_T/Y (kWh)</t>
  </si>
  <si>
    <t>total P reqs (kWh)</t>
  </si>
  <si>
    <t>Rainwater collected (L)</t>
  </si>
  <si>
    <t>Rainwater per day (L)</t>
  </si>
  <si>
    <t>total_incl_Light kWh</t>
  </si>
  <si>
    <t>total_left_inclLight (kWh)</t>
  </si>
  <si>
    <t>totalexcess</t>
  </si>
  <si>
    <t>total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</si>
</sst>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1B8E-1E6E-43FA-9720-4055D76AC26F}">
  <dimension ref="A1:Q43"/>
  <sheetViews>
    <sheetView tabSelected="1" workbookViewId="0">
      <selection activeCell="B27" sqref="B27"/>
    </sheetView>
  </sheetViews>
  <sheetFormatPr defaultRowHeight="14.5" x14ac:dyDescent="0.35"/>
  <cols>
    <col min="1" max="1" width="20.36328125" customWidth="1"/>
    <col min="2" max="2" width="11.81640625" bestFit="1" customWidth="1"/>
  </cols>
  <sheetData>
    <row r="1" spans="1:1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17</v>
      </c>
    </row>
    <row r="2" spans="1:17" x14ac:dyDescent="0.35">
      <c r="A2" t="s">
        <v>12</v>
      </c>
      <c r="B2">
        <v>13.5</v>
      </c>
      <c r="C2">
        <v>13.5</v>
      </c>
      <c r="D2">
        <v>12</v>
      </c>
      <c r="E2">
        <v>10.5</v>
      </c>
      <c r="F2">
        <v>9.25</v>
      </c>
      <c r="G2">
        <v>8.5</v>
      </c>
      <c r="H2">
        <v>9</v>
      </c>
      <c r="I2">
        <v>10</v>
      </c>
      <c r="J2">
        <v>11.5</v>
      </c>
      <c r="K2">
        <v>13</v>
      </c>
      <c r="L2">
        <v>14.5</v>
      </c>
      <c r="M2">
        <v>15</v>
      </c>
      <c r="N2">
        <f>SUM(B2:M2)</f>
        <v>140.25</v>
      </c>
      <c r="Q2">
        <f>M2*M5+L5*L2+K2*K5+C5*C2+B2*B5</f>
        <v>2099.5</v>
      </c>
    </row>
    <row r="3" spans="1:17" x14ac:dyDescent="0.35">
      <c r="A3" t="s">
        <v>13</v>
      </c>
      <c r="B3">
        <v>13.92</v>
      </c>
      <c r="C3">
        <v>17.05</v>
      </c>
      <c r="D3">
        <v>23.25</v>
      </c>
      <c r="E3">
        <v>24.67</v>
      </c>
      <c r="F3">
        <v>26.24</v>
      </c>
      <c r="G3">
        <v>26.97</v>
      </c>
      <c r="H3">
        <v>28.86</v>
      </c>
      <c r="I3">
        <v>27.76</v>
      </c>
      <c r="J3">
        <v>23.98</v>
      </c>
      <c r="K3">
        <v>19.66</v>
      </c>
      <c r="L3">
        <v>13</v>
      </c>
      <c r="M3">
        <v>12.76</v>
      </c>
      <c r="N3">
        <f t="shared" ref="N3:N12" si="0">SUM(B3:M3)</f>
        <v>258.11999999999995</v>
      </c>
    </row>
    <row r="4" spans="1:17" x14ac:dyDescent="0.35">
      <c r="A4" t="s">
        <v>14</v>
      </c>
      <c r="B4">
        <f>(B5*B2*B8)/1000</f>
        <v>19.711350000000003</v>
      </c>
      <c r="C4">
        <f t="shared" ref="C4:M4" si="1">(C5*C2*C8)/1000</f>
        <v>17.803799999999999</v>
      </c>
      <c r="D4">
        <f t="shared" si="1"/>
        <v>17.5212</v>
      </c>
      <c r="E4">
        <f t="shared" si="1"/>
        <v>14.836499999999999</v>
      </c>
      <c r="F4">
        <f t="shared" si="1"/>
        <v>13.505925000000001</v>
      </c>
      <c r="G4">
        <f t="shared" si="1"/>
        <v>12.0105</v>
      </c>
      <c r="H4">
        <f t="shared" si="1"/>
        <v>13.1409</v>
      </c>
      <c r="I4">
        <f t="shared" si="1"/>
        <v>14.601000000000001</v>
      </c>
      <c r="J4">
        <f t="shared" si="1"/>
        <v>16.249500000000001</v>
      </c>
      <c r="K4">
        <f t="shared" si="1"/>
        <v>18.981300000000001</v>
      </c>
      <c r="L4">
        <f t="shared" si="1"/>
        <v>20.488499999999998</v>
      </c>
      <c r="M4">
        <f t="shared" si="1"/>
        <v>21.901499999999999</v>
      </c>
      <c r="N4">
        <f t="shared" si="0"/>
        <v>200.75197499999999</v>
      </c>
    </row>
    <row r="5" spans="1:17" x14ac:dyDescent="0.35">
      <c r="A5" t="s">
        <v>16</v>
      </c>
      <c r="B5">
        <v>31</v>
      </c>
      <c r="C5">
        <v>28</v>
      </c>
      <c r="D5">
        <v>31</v>
      </c>
      <c r="E5">
        <v>30</v>
      </c>
      <c r="F5">
        <v>31</v>
      </c>
      <c r="G5">
        <v>30</v>
      </c>
      <c r="H5">
        <v>31</v>
      </c>
      <c r="I5">
        <v>31</v>
      </c>
      <c r="J5">
        <v>30</v>
      </c>
      <c r="K5">
        <v>31</v>
      </c>
      <c r="L5">
        <v>30</v>
      </c>
      <c r="M5">
        <v>31</v>
      </c>
      <c r="N5">
        <f t="shared" si="0"/>
        <v>365</v>
      </c>
    </row>
    <row r="6" spans="1:17" x14ac:dyDescent="0.35">
      <c r="A6" t="s">
        <v>18</v>
      </c>
      <c r="B6">
        <f>B3-B4</f>
        <v>-5.7913500000000031</v>
      </c>
      <c r="C6">
        <f t="shared" ref="C6:M6" si="2">C3-C4</f>
        <v>-0.75379999999999825</v>
      </c>
      <c r="D6">
        <f t="shared" si="2"/>
        <v>5.7287999999999997</v>
      </c>
      <c r="E6">
        <f t="shared" si="2"/>
        <v>9.8335000000000026</v>
      </c>
      <c r="F6">
        <f t="shared" si="2"/>
        <v>12.734074999999997</v>
      </c>
      <c r="G6">
        <f t="shared" si="2"/>
        <v>14.959499999999998</v>
      </c>
      <c r="H6">
        <f t="shared" si="2"/>
        <v>15.719099999999999</v>
      </c>
      <c r="I6">
        <f t="shared" si="2"/>
        <v>13.159000000000001</v>
      </c>
      <c r="J6">
        <f t="shared" si="2"/>
        <v>7.7304999999999993</v>
      </c>
      <c r="K6">
        <f t="shared" si="2"/>
        <v>0.67869999999999919</v>
      </c>
      <c r="L6">
        <f t="shared" si="2"/>
        <v>-7.4884999999999984</v>
      </c>
      <c r="M6">
        <f t="shared" si="2"/>
        <v>-9.1414999999999988</v>
      </c>
      <c r="N6">
        <f t="shared" si="0"/>
        <v>57.368024999999982</v>
      </c>
    </row>
    <row r="7" spans="1:17" x14ac:dyDescent="0.35">
      <c r="N7">
        <f t="shared" si="0"/>
        <v>0</v>
      </c>
    </row>
    <row r="8" spans="1:17" x14ac:dyDescent="0.35">
      <c r="A8" t="s">
        <v>15</v>
      </c>
      <c r="B8">
        <v>47.1</v>
      </c>
      <c r="C8">
        <v>47.1</v>
      </c>
      <c r="D8">
        <v>47.1</v>
      </c>
      <c r="E8">
        <v>47.1</v>
      </c>
      <c r="F8">
        <v>47.1</v>
      </c>
      <c r="G8">
        <v>47.1</v>
      </c>
      <c r="H8">
        <v>47.1</v>
      </c>
      <c r="I8">
        <v>47.1</v>
      </c>
      <c r="J8">
        <v>47.1</v>
      </c>
      <c r="K8">
        <v>47.1</v>
      </c>
      <c r="L8">
        <v>47.1</v>
      </c>
      <c r="M8">
        <v>47.1</v>
      </c>
      <c r="N8">
        <f t="shared" si="0"/>
        <v>565.20000000000016</v>
      </c>
    </row>
    <row r="9" spans="1:17" x14ac:dyDescent="0.35">
      <c r="N9">
        <f t="shared" si="0"/>
        <v>0</v>
      </c>
    </row>
    <row r="10" spans="1:17" x14ac:dyDescent="0.35">
      <c r="A10" t="s">
        <v>19</v>
      </c>
      <c r="B10">
        <v>48.3</v>
      </c>
      <c r="C10">
        <v>73.599999999999994</v>
      </c>
      <c r="D10">
        <v>64.5</v>
      </c>
      <c r="E10">
        <v>81.2</v>
      </c>
      <c r="F10">
        <v>77.900000000000006</v>
      </c>
      <c r="G10">
        <v>64.599999999999994</v>
      </c>
      <c r="H10">
        <v>49.6</v>
      </c>
      <c r="I10">
        <v>57</v>
      </c>
      <c r="J10">
        <v>72.8</v>
      </c>
      <c r="K10">
        <v>78.5</v>
      </c>
      <c r="L10">
        <v>92.9</v>
      </c>
      <c r="M10">
        <v>71</v>
      </c>
      <c r="N10">
        <f t="shared" si="0"/>
        <v>831.9</v>
      </c>
    </row>
    <row r="11" spans="1:17" x14ac:dyDescent="0.35">
      <c r="A11" t="s">
        <v>20</v>
      </c>
      <c r="B11">
        <f>(B10/B5)-1.096</f>
        <v>0.46206451612903199</v>
      </c>
      <c r="C11">
        <f t="shared" ref="C11:M11" si="3">(C10/C5)-1.096</f>
        <v>1.5325714285714285</v>
      </c>
      <c r="D11">
        <f t="shared" si="3"/>
        <v>0.98464516129032242</v>
      </c>
      <c r="E11">
        <f t="shared" si="3"/>
        <v>1.6106666666666665</v>
      </c>
      <c r="F11">
        <f t="shared" si="3"/>
        <v>1.4169032258064518</v>
      </c>
      <c r="G11">
        <f t="shared" si="3"/>
        <v>1.0573333333333332</v>
      </c>
      <c r="H11">
        <f t="shared" si="3"/>
        <v>0.504</v>
      </c>
      <c r="I11">
        <f t="shared" si="3"/>
        <v>0.74270967741935467</v>
      </c>
      <c r="J11">
        <f t="shared" si="3"/>
        <v>1.3306666666666667</v>
      </c>
      <c r="K11">
        <f t="shared" si="3"/>
        <v>1.4362580645161289</v>
      </c>
      <c r="L11">
        <f t="shared" si="3"/>
        <v>2.0006666666666666</v>
      </c>
      <c r="M11">
        <f t="shared" si="3"/>
        <v>1.1943225806451614</v>
      </c>
      <c r="N11">
        <f t="shared" si="0"/>
        <v>14.272807987711213</v>
      </c>
    </row>
    <row r="12" spans="1:17" x14ac:dyDescent="0.35">
      <c r="A12" t="s">
        <v>38</v>
      </c>
      <c r="B12">
        <f>3.14*B10</f>
        <v>151.66200000000001</v>
      </c>
      <c r="C12">
        <f t="shared" ref="C12:M12" si="4">3.14*C10</f>
        <v>231.10399999999998</v>
      </c>
      <c r="D12">
        <f t="shared" si="4"/>
        <v>202.53</v>
      </c>
      <c r="E12">
        <f t="shared" si="4"/>
        <v>254.96800000000002</v>
      </c>
      <c r="F12">
        <f t="shared" si="4"/>
        <v>244.60600000000002</v>
      </c>
      <c r="G12">
        <f t="shared" si="4"/>
        <v>202.84399999999999</v>
      </c>
      <c r="H12">
        <f t="shared" si="4"/>
        <v>155.744</v>
      </c>
      <c r="I12">
        <f t="shared" si="4"/>
        <v>178.98000000000002</v>
      </c>
      <c r="J12">
        <f t="shared" si="4"/>
        <v>228.59200000000001</v>
      </c>
      <c r="K12">
        <f t="shared" si="4"/>
        <v>246.49</v>
      </c>
      <c r="L12">
        <f t="shared" si="4"/>
        <v>291.70600000000002</v>
      </c>
      <c r="M12">
        <f t="shared" si="4"/>
        <v>222.94</v>
      </c>
      <c r="N12">
        <f t="shared" si="0"/>
        <v>2612.1660000000002</v>
      </c>
    </row>
    <row r="13" spans="1:17" x14ac:dyDescent="0.35">
      <c r="A13" t="s">
        <v>39</v>
      </c>
      <c r="B13">
        <f>B12/B5</f>
        <v>4.8923225806451613</v>
      </c>
      <c r="C13">
        <f t="shared" ref="C13:M13" si="5">C12/C5</f>
        <v>8.2537142857142847</v>
      </c>
      <c r="D13">
        <f t="shared" si="5"/>
        <v>6.5332258064516129</v>
      </c>
      <c r="E13">
        <f t="shared" si="5"/>
        <v>8.4989333333333335</v>
      </c>
      <c r="F13">
        <f t="shared" si="5"/>
        <v>7.8905161290322585</v>
      </c>
      <c r="G13">
        <f t="shared" si="5"/>
        <v>6.7614666666666663</v>
      </c>
      <c r="H13">
        <f t="shared" si="5"/>
        <v>5.024</v>
      </c>
      <c r="I13">
        <f t="shared" si="5"/>
        <v>5.773548387096775</v>
      </c>
      <c r="J13">
        <f t="shared" si="5"/>
        <v>7.6197333333333335</v>
      </c>
      <c r="K13">
        <f t="shared" si="5"/>
        <v>7.9512903225806451</v>
      </c>
      <c r="L13">
        <f t="shared" si="5"/>
        <v>9.723533333333334</v>
      </c>
      <c r="M13">
        <f t="shared" si="5"/>
        <v>7.1916129032258063</v>
      </c>
    </row>
    <row r="14" spans="1:17" x14ac:dyDescent="0.35">
      <c r="A14" t="s">
        <v>21</v>
      </c>
      <c r="B14">
        <f>(B13/1000)/0.15</f>
        <v>3.2615483870967743E-2</v>
      </c>
      <c r="C14">
        <f t="shared" ref="C14:M14" si="6">(C13/1000)/0.15</f>
        <v>5.5024761904761896E-2</v>
      </c>
      <c r="D14">
        <f t="shared" si="6"/>
        <v>4.3554838709677419E-2</v>
      </c>
      <c r="E14">
        <f t="shared" si="6"/>
        <v>5.665955555555556E-2</v>
      </c>
      <c r="F14">
        <f t="shared" si="6"/>
        <v>5.260344086021506E-2</v>
      </c>
      <c r="G14">
        <f t="shared" si="6"/>
        <v>4.507644444444444E-2</v>
      </c>
      <c r="H14">
        <f t="shared" si="6"/>
        <v>3.3493333333333333E-2</v>
      </c>
      <c r="I14">
        <f t="shared" si="6"/>
        <v>3.8490322580645164E-2</v>
      </c>
      <c r="J14">
        <f t="shared" si="6"/>
        <v>5.0798222222222224E-2</v>
      </c>
      <c r="K14">
        <f t="shared" si="6"/>
        <v>5.3008602150537633E-2</v>
      </c>
      <c r="L14">
        <f t="shared" si="6"/>
        <v>6.4823555555555565E-2</v>
      </c>
      <c r="M14">
        <f t="shared" si="6"/>
        <v>4.7944086021505378E-2</v>
      </c>
    </row>
    <row r="16" spans="1:17" x14ac:dyDescent="0.35">
      <c r="A16" t="s">
        <v>26</v>
      </c>
      <c r="B16">
        <f>4-B14</f>
        <v>3.9673845161290324</v>
      </c>
      <c r="C16">
        <f t="shared" ref="C16:M16" si="7">4-C14</f>
        <v>3.9449752380952381</v>
      </c>
      <c r="D16">
        <f t="shared" si="7"/>
        <v>3.9564451612903224</v>
      </c>
      <c r="E16">
        <f t="shared" si="7"/>
        <v>3.9433404444444444</v>
      </c>
      <c r="F16">
        <f t="shared" si="7"/>
        <v>3.947396559139785</v>
      </c>
      <c r="G16">
        <f t="shared" si="7"/>
        <v>3.9549235555555557</v>
      </c>
      <c r="H16">
        <f t="shared" si="7"/>
        <v>3.9665066666666666</v>
      </c>
      <c r="I16">
        <f t="shared" si="7"/>
        <v>3.9615096774193548</v>
      </c>
      <c r="J16">
        <f t="shared" si="7"/>
        <v>3.9492017777777777</v>
      </c>
      <c r="K16">
        <f t="shared" si="7"/>
        <v>3.9469913978494624</v>
      </c>
      <c r="L16">
        <f t="shared" si="7"/>
        <v>3.9351764444444446</v>
      </c>
      <c r="M16">
        <f t="shared" si="7"/>
        <v>3.9520559139784948</v>
      </c>
    </row>
    <row r="17" spans="1:16" x14ac:dyDescent="0.35">
      <c r="A17" t="s">
        <v>23</v>
      </c>
      <c r="B17">
        <f>((B13-0.2725)/1000)/0.15</f>
        <v>3.0798817204301075E-2</v>
      </c>
      <c r="C17">
        <f t="shared" ref="C17:M17" si="8">((C13-0.2725)/1000)/0.15</f>
        <v>5.3208095238095228E-2</v>
      </c>
      <c r="D17">
        <f t="shared" si="8"/>
        <v>4.1738172043010752E-2</v>
      </c>
      <c r="E17">
        <f t="shared" si="8"/>
        <v>5.4842888888888892E-2</v>
      </c>
      <c r="F17">
        <f t="shared" si="8"/>
        <v>5.0786774193548392E-2</v>
      </c>
      <c r="G17">
        <f t="shared" si="8"/>
        <v>4.3259777777777772E-2</v>
      </c>
      <c r="H17">
        <f t="shared" si="8"/>
        <v>3.1676666666666665E-2</v>
      </c>
      <c r="I17">
        <f t="shared" si="8"/>
        <v>3.6673655913978503E-2</v>
      </c>
      <c r="J17">
        <f t="shared" si="8"/>
        <v>4.8981555555555563E-2</v>
      </c>
      <c r="K17">
        <f t="shared" si="8"/>
        <v>5.1191935483870965E-2</v>
      </c>
      <c r="L17">
        <f t="shared" si="8"/>
        <v>6.300688888888889E-2</v>
      </c>
      <c r="M17">
        <f t="shared" si="8"/>
        <v>4.612741935483871E-2</v>
      </c>
    </row>
    <row r="18" spans="1:16" x14ac:dyDescent="0.35">
      <c r="A18" t="s">
        <v>25</v>
      </c>
      <c r="B18">
        <f>B13-0.2725</f>
        <v>4.6198225806451614</v>
      </c>
      <c r="C18">
        <f t="shared" ref="C18:M18" si="9">C13-0.2725</f>
        <v>7.9812142857142847</v>
      </c>
      <c r="D18">
        <f t="shared" si="9"/>
        <v>6.2607258064516129</v>
      </c>
      <c r="E18">
        <f t="shared" si="9"/>
        <v>8.2264333333333326</v>
      </c>
      <c r="F18">
        <f t="shared" si="9"/>
        <v>7.6180161290322586</v>
      </c>
      <c r="G18">
        <f t="shared" si="9"/>
        <v>6.4889666666666663</v>
      </c>
      <c r="H18">
        <f t="shared" si="9"/>
        <v>4.7515000000000001</v>
      </c>
      <c r="I18">
        <f t="shared" si="9"/>
        <v>5.501048387096775</v>
      </c>
      <c r="J18">
        <f t="shared" si="9"/>
        <v>7.3472333333333335</v>
      </c>
      <c r="K18">
        <f t="shared" si="9"/>
        <v>7.6787903225806451</v>
      </c>
      <c r="L18">
        <f t="shared" si="9"/>
        <v>9.4510333333333332</v>
      </c>
      <c r="M18">
        <f t="shared" si="9"/>
        <v>6.9191129032258063</v>
      </c>
    </row>
    <row r="19" spans="1:16" x14ac:dyDescent="0.35">
      <c r="A19" t="s">
        <v>24</v>
      </c>
      <c r="B19">
        <f>3-B17</f>
        <v>2.969201182795699</v>
      </c>
      <c r="C19">
        <f t="shared" ref="C19:M19" si="10">3-C17</f>
        <v>2.9467919047619047</v>
      </c>
      <c r="D19">
        <f t="shared" si="10"/>
        <v>2.9582618279569894</v>
      </c>
      <c r="E19">
        <f t="shared" si="10"/>
        <v>2.945157111111111</v>
      </c>
      <c r="F19">
        <f t="shared" si="10"/>
        <v>2.9492132258064516</v>
      </c>
      <c r="G19">
        <f t="shared" si="10"/>
        <v>2.9567402222222223</v>
      </c>
      <c r="H19">
        <f t="shared" si="10"/>
        <v>2.9683233333333332</v>
      </c>
      <c r="I19">
        <f t="shared" si="10"/>
        <v>2.9633263440860214</v>
      </c>
      <c r="J19">
        <f t="shared" si="10"/>
        <v>2.9510184444444443</v>
      </c>
      <c r="K19">
        <f t="shared" si="10"/>
        <v>2.948808064516129</v>
      </c>
      <c r="L19">
        <f t="shared" si="10"/>
        <v>2.9369931111111112</v>
      </c>
      <c r="M19">
        <f t="shared" si="10"/>
        <v>2.9538725806451613</v>
      </c>
    </row>
    <row r="20" spans="1:16" x14ac:dyDescent="0.35">
      <c r="A20" t="s">
        <v>23</v>
      </c>
      <c r="B20">
        <f>(B21/1000)/0.15</f>
        <v>2.8982150537634407E-2</v>
      </c>
      <c r="C20">
        <f t="shared" ref="C20:M20" si="11">(C21/1000)/0.15</f>
        <v>5.1391428571428567E-2</v>
      </c>
      <c r="D20">
        <f t="shared" si="11"/>
        <v>3.9921505376344084E-2</v>
      </c>
      <c r="E20">
        <f t="shared" si="11"/>
        <v>5.3026222222222225E-2</v>
      </c>
      <c r="F20">
        <f t="shared" si="11"/>
        <v>4.8970107526881725E-2</v>
      </c>
      <c r="G20">
        <f t="shared" si="11"/>
        <v>4.1443111111111111E-2</v>
      </c>
      <c r="H20">
        <f t="shared" si="11"/>
        <v>2.9860000000000005E-2</v>
      </c>
      <c r="I20">
        <f t="shared" si="11"/>
        <v>3.4856989247311836E-2</v>
      </c>
      <c r="J20">
        <f t="shared" si="11"/>
        <v>4.7164888888888895E-2</v>
      </c>
      <c r="K20">
        <f t="shared" si="11"/>
        <v>4.9375268817204297E-2</v>
      </c>
      <c r="L20">
        <f t="shared" si="11"/>
        <v>6.1190222222222215E-2</v>
      </c>
      <c r="M20">
        <f t="shared" si="11"/>
        <v>4.4310752688172042E-2</v>
      </c>
    </row>
    <row r="21" spans="1:16" x14ac:dyDescent="0.35">
      <c r="A21" t="s">
        <v>25</v>
      </c>
      <c r="B21">
        <f>B18-0.2725</f>
        <v>4.3473225806451614</v>
      </c>
      <c r="C21">
        <f t="shared" ref="C21:M21" si="12">C18-0.2725</f>
        <v>7.7087142857142847</v>
      </c>
      <c r="D21">
        <f t="shared" si="12"/>
        <v>5.988225806451613</v>
      </c>
      <c r="E21">
        <f t="shared" si="12"/>
        <v>7.9539333333333326</v>
      </c>
      <c r="F21">
        <f t="shared" si="12"/>
        <v>7.3455161290322586</v>
      </c>
      <c r="G21">
        <f t="shared" si="12"/>
        <v>6.2164666666666664</v>
      </c>
      <c r="H21">
        <f t="shared" si="12"/>
        <v>4.4790000000000001</v>
      </c>
      <c r="I21">
        <f t="shared" si="12"/>
        <v>5.2285483870967751</v>
      </c>
      <c r="J21">
        <f t="shared" si="12"/>
        <v>7.0747333333333335</v>
      </c>
      <c r="K21">
        <f t="shared" si="12"/>
        <v>7.4062903225806451</v>
      </c>
      <c r="L21">
        <f t="shared" si="12"/>
        <v>9.1785333333333323</v>
      </c>
      <c r="M21">
        <f t="shared" si="12"/>
        <v>6.6466129032258063</v>
      </c>
    </row>
    <row r="22" spans="1:16" x14ac:dyDescent="0.35">
      <c r="A22" t="s">
        <v>22</v>
      </c>
      <c r="B22">
        <f>2-B20</f>
        <v>1.9710178494623656</v>
      </c>
      <c r="C22">
        <f t="shared" ref="C22:M22" si="13">2-C20</f>
        <v>1.9486085714285715</v>
      </c>
      <c r="D22">
        <f t="shared" si="13"/>
        <v>1.960078494623656</v>
      </c>
      <c r="E22">
        <f t="shared" si="13"/>
        <v>1.9469737777777778</v>
      </c>
      <c r="F22">
        <f t="shared" si="13"/>
        <v>1.9510298924731182</v>
      </c>
      <c r="G22">
        <f t="shared" si="13"/>
        <v>1.9585568888888889</v>
      </c>
      <c r="H22">
        <f t="shared" si="13"/>
        <v>1.97014</v>
      </c>
      <c r="I22">
        <f t="shared" si="13"/>
        <v>1.9651430107526882</v>
      </c>
      <c r="J22">
        <f t="shared" si="13"/>
        <v>1.9528351111111111</v>
      </c>
      <c r="K22">
        <f t="shared" si="13"/>
        <v>1.9506247311827958</v>
      </c>
      <c r="L22">
        <f t="shared" si="13"/>
        <v>1.9388097777777777</v>
      </c>
      <c r="M22">
        <f t="shared" si="13"/>
        <v>1.9556892473118279</v>
      </c>
    </row>
    <row r="23" spans="1:16" x14ac:dyDescent="0.35">
      <c r="A23" t="s">
        <v>23</v>
      </c>
      <c r="B23">
        <f>(B24/1000)/0.15</f>
        <v>2.7165483870967747E-2</v>
      </c>
      <c r="C23">
        <f t="shared" ref="C23:M23" si="14">(C24/1000)/0.15</f>
        <v>4.9574761904761899E-2</v>
      </c>
      <c r="D23">
        <f t="shared" si="14"/>
        <v>3.8104838709677416E-2</v>
      </c>
      <c r="E23">
        <f t="shared" si="14"/>
        <v>5.1209555555555557E-2</v>
      </c>
      <c r="F23">
        <f t="shared" si="14"/>
        <v>4.7153440860215057E-2</v>
      </c>
      <c r="G23">
        <f t="shared" si="14"/>
        <v>3.9626444444444443E-2</v>
      </c>
      <c r="H23">
        <f t="shared" si="14"/>
        <v>2.8043333333333337E-2</v>
      </c>
      <c r="I23">
        <f t="shared" si="14"/>
        <v>3.3040322580645168E-2</v>
      </c>
      <c r="J23">
        <f t="shared" si="14"/>
        <v>4.5348222222222227E-2</v>
      </c>
      <c r="K23">
        <f t="shared" si="14"/>
        <v>4.7558602150537636E-2</v>
      </c>
      <c r="L23">
        <f t="shared" si="14"/>
        <v>5.9373555555555547E-2</v>
      </c>
      <c r="M23">
        <f t="shared" si="14"/>
        <v>4.2494086021505374E-2</v>
      </c>
    </row>
    <row r="24" spans="1:16" x14ac:dyDescent="0.35">
      <c r="A24" t="s">
        <v>25</v>
      </c>
      <c r="B24">
        <f>B21-0.2725</f>
        <v>4.0748225806451615</v>
      </c>
      <c r="C24">
        <f t="shared" ref="C24:M24" si="15">C21-0.2725</f>
        <v>7.4362142857142848</v>
      </c>
      <c r="D24">
        <f t="shared" si="15"/>
        <v>5.715725806451613</v>
      </c>
      <c r="E24">
        <f t="shared" si="15"/>
        <v>7.6814333333333327</v>
      </c>
      <c r="F24">
        <f t="shared" si="15"/>
        <v>7.0730161290322586</v>
      </c>
      <c r="G24">
        <f t="shared" si="15"/>
        <v>5.9439666666666664</v>
      </c>
      <c r="H24">
        <f t="shared" si="15"/>
        <v>4.2065000000000001</v>
      </c>
      <c r="I24">
        <f t="shared" si="15"/>
        <v>4.9560483870967751</v>
      </c>
      <c r="J24">
        <f t="shared" si="15"/>
        <v>6.8022333333333336</v>
      </c>
      <c r="K24">
        <f t="shared" si="15"/>
        <v>7.1337903225806452</v>
      </c>
      <c r="L24">
        <f t="shared" si="15"/>
        <v>8.9060333333333315</v>
      </c>
      <c r="M24">
        <f t="shared" si="15"/>
        <v>6.3741129032258064</v>
      </c>
    </row>
    <row r="25" spans="1:16" x14ac:dyDescent="0.35">
      <c r="A25" t="s">
        <v>27</v>
      </c>
      <c r="B25">
        <f>1-B23</f>
        <v>0.97283451612903227</v>
      </c>
      <c r="C25">
        <f t="shared" ref="C25:M25" si="16">1-C23</f>
        <v>0.95042523809523805</v>
      </c>
      <c r="D25">
        <f t="shared" si="16"/>
        <v>0.9618951612903226</v>
      </c>
      <c r="E25">
        <f t="shared" si="16"/>
        <v>0.94879044444444449</v>
      </c>
      <c r="F25">
        <f t="shared" si="16"/>
        <v>0.952846559139785</v>
      </c>
      <c r="G25">
        <f t="shared" si="16"/>
        <v>0.96037355555555559</v>
      </c>
      <c r="H25">
        <f t="shared" si="16"/>
        <v>0.97195666666666669</v>
      </c>
      <c r="I25">
        <f t="shared" si="16"/>
        <v>0.96695967741935485</v>
      </c>
      <c r="J25">
        <f t="shared" si="16"/>
        <v>0.95465177777777777</v>
      </c>
      <c r="K25">
        <f t="shared" si="16"/>
        <v>0.95244139784946236</v>
      </c>
      <c r="L25">
        <f t="shared" si="16"/>
        <v>0.94062644444444443</v>
      </c>
      <c r="M25">
        <f t="shared" si="16"/>
        <v>0.9575059139784946</v>
      </c>
    </row>
    <row r="26" spans="1:16" x14ac:dyDescent="0.35">
      <c r="A26" t="s">
        <v>23</v>
      </c>
      <c r="B26">
        <f>(B27/1000)/0.15</f>
        <v>2.5348817204301079E-2</v>
      </c>
      <c r="C26">
        <f t="shared" ref="C26:M26" si="17">(C27/1000)/0.15</f>
        <v>4.7758095238095231E-2</v>
      </c>
      <c r="D26">
        <f t="shared" si="17"/>
        <v>3.6288172043010755E-2</v>
      </c>
      <c r="E26">
        <f t="shared" si="17"/>
        <v>4.9392888888888889E-2</v>
      </c>
      <c r="F26">
        <f t="shared" si="17"/>
        <v>4.5336774193548389E-2</v>
      </c>
      <c r="G26">
        <f t="shared" si="17"/>
        <v>3.7809777777777775E-2</v>
      </c>
      <c r="H26">
        <f t="shared" si="17"/>
        <v>2.6226666666666669E-2</v>
      </c>
      <c r="I26">
        <f t="shared" si="17"/>
        <v>3.12236559139785E-2</v>
      </c>
      <c r="J26">
        <f t="shared" si="17"/>
        <v>4.3531555555555559E-2</v>
      </c>
      <c r="K26">
        <f t="shared" si="17"/>
        <v>4.5741935483870969E-2</v>
      </c>
      <c r="L26">
        <f t="shared" si="17"/>
        <v>5.7556888888888873E-2</v>
      </c>
      <c r="M26">
        <f t="shared" si="17"/>
        <v>4.0677419354838713E-2</v>
      </c>
    </row>
    <row r="27" spans="1:16" x14ac:dyDescent="0.35">
      <c r="A27" t="s">
        <v>25</v>
      </c>
      <c r="B27">
        <f>B24-0.2725</f>
        <v>3.8023225806451615</v>
      </c>
      <c r="C27">
        <f t="shared" ref="C27:M27" si="18">C24-0.2725</f>
        <v>7.1637142857142848</v>
      </c>
      <c r="D27">
        <f t="shared" si="18"/>
        <v>5.443225806451613</v>
      </c>
      <c r="E27">
        <f t="shared" si="18"/>
        <v>7.4089333333333327</v>
      </c>
      <c r="F27">
        <f t="shared" si="18"/>
        <v>6.8005161290322587</v>
      </c>
      <c r="G27">
        <f t="shared" si="18"/>
        <v>5.6714666666666664</v>
      </c>
      <c r="H27">
        <f t="shared" si="18"/>
        <v>3.9340000000000002</v>
      </c>
      <c r="I27">
        <f t="shared" si="18"/>
        <v>4.6835483870967751</v>
      </c>
      <c r="J27">
        <f t="shared" si="18"/>
        <v>6.5297333333333336</v>
      </c>
      <c r="K27">
        <f t="shared" si="18"/>
        <v>6.8612903225806452</v>
      </c>
      <c r="L27">
        <f t="shared" si="18"/>
        <v>8.6335333333333306</v>
      </c>
      <c r="M27">
        <f t="shared" si="18"/>
        <v>6.1016129032258064</v>
      </c>
    </row>
    <row r="30" spans="1:16" x14ac:dyDescent="0.35">
      <c r="A30" t="s">
        <v>30</v>
      </c>
    </row>
    <row r="31" spans="1:16" x14ac:dyDescent="0.35">
      <c r="A31" t="s">
        <v>28</v>
      </c>
      <c r="B31">
        <f>0.0045/20</f>
        <v>2.2499999999999999E-4</v>
      </c>
      <c r="C31">
        <f t="shared" ref="C31:M31" si="19">0.0045/5</f>
        <v>8.9999999999999998E-4</v>
      </c>
      <c r="D31">
        <f t="shared" si="19"/>
        <v>8.9999999999999998E-4</v>
      </c>
      <c r="E31">
        <f t="shared" si="19"/>
        <v>8.9999999999999998E-4</v>
      </c>
      <c r="F31">
        <f t="shared" si="19"/>
        <v>8.9999999999999998E-4</v>
      </c>
      <c r="G31">
        <f t="shared" si="19"/>
        <v>8.9999999999999998E-4</v>
      </c>
      <c r="H31">
        <f t="shared" si="19"/>
        <v>8.9999999999999998E-4</v>
      </c>
      <c r="I31">
        <f t="shared" si="19"/>
        <v>8.9999999999999998E-4</v>
      </c>
      <c r="J31">
        <f t="shared" si="19"/>
        <v>8.9999999999999998E-4</v>
      </c>
      <c r="K31">
        <f t="shared" si="19"/>
        <v>8.9999999999999998E-4</v>
      </c>
      <c r="L31">
        <f t="shared" si="19"/>
        <v>8.9999999999999998E-4</v>
      </c>
      <c r="M31">
        <f t="shared" si="19"/>
        <v>8.9999999999999998E-4</v>
      </c>
    </row>
    <row r="32" spans="1:16" x14ac:dyDescent="0.35">
      <c r="A32" t="s">
        <v>29</v>
      </c>
      <c r="B32">
        <f>((1000*9.81*B16*B31)/0.7)/1000</f>
        <v>1.2510013533179725E-2</v>
      </c>
      <c r="C32">
        <f t="shared" ref="C32:M32" si="20">((1000*9.81*C16*C31)/0.7)/1000</f>
        <v>4.9757409110204077E-2</v>
      </c>
      <c r="D32">
        <f t="shared" si="20"/>
        <v>4.9902077612903224E-2</v>
      </c>
      <c r="E32">
        <f t="shared" si="20"/>
        <v>4.9736789691428571E-2</v>
      </c>
      <c r="F32">
        <f t="shared" si="20"/>
        <v>4.9787948886635944E-2</v>
      </c>
      <c r="G32">
        <f t="shared" si="20"/>
        <v>4.9882885817142855E-2</v>
      </c>
      <c r="H32">
        <f t="shared" si="20"/>
        <v>5.0028981942857147E-2</v>
      </c>
      <c r="I32">
        <f t="shared" si="20"/>
        <v>4.9965955631336406E-2</v>
      </c>
      <c r="J32">
        <f t="shared" si="20"/>
        <v>4.9810717851428578E-2</v>
      </c>
      <c r="K32">
        <f t="shared" si="20"/>
        <v>4.9782838645161288E-2</v>
      </c>
      <c r="L32">
        <f t="shared" si="20"/>
        <v>4.9633818325714285E-2</v>
      </c>
      <c r="M32">
        <f t="shared" si="20"/>
        <v>4.9846716663594477E-2</v>
      </c>
      <c r="N32">
        <f>SUM(B32:M32)</f>
        <v>0.56064615371158666</v>
      </c>
      <c r="P32">
        <f>SUM(N32:N36)</f>
        <v>1.2513034758587944</v>
      </c>
    </row>
    <row r="33" spans="1:16" x14ac:dyDescent="0.35">
      <c r="N33">
        <f t="shared" ref="N33:N36" si="21">SUM(B33:M33)</f>
        <v>0</v>
      </c>
    </row>
    <row r="34" spans="1:16" x14ac:dyDescent="0.35">
      <c r="A34" t="s">
        <v>31</v>
      </c>
      <c r="B34">
        <f xml:space="preserve"> (1000*9.81*B19*B31)/(1000*0.7)</f>
        <v>9.3625275867511518E-3</v>
      </c>
      <c r="C34">
        <f t="shared" ref="C34:M34" si="22" xml:space="preserve"> (1000*9.81*C19*C31)/(1000*0.7)</f>
        <v>3.7167465324489793E-2</v>
      </c>
      <c r="D34">
        <f t="shared" si="22"/>
        <v>3.731213382718894E-2</v>
      </c>
      <c r="E34">
        <f t="shared" si="22"/>
        <v>3.7146845905714286E-2</v>
      </c>
      <c r="F34">
        <f t="shared" si="22"/>
        <v>3.7198005100921659E-2</v>
      </c>
      <c r="G34">
        <f t="shared" si="22"/>
        <v>3.7292942031428571E-2</v>
      </c>
      <c r="H34">
        <f t="shared" si="22"/>
        <v>3.7439038157142855E-2</v>
      </c>
      <c r="I34">
        <f t="shared" si="22"/>
        <v>3.7376011845622122E-2</v>
      </c>
      <c r="J34">
        <f t="shared" si="22"/>
        <v>3.7220774065714286E-2</v>
      </c>
      <c r="K34">
        <f t="shared" si="22"/>
        <v>3.7192894859447004E-2</v>
      </c>
      <c r="L34">
        <f t="shared" si="22"/>
        <v>3.7043874540000001E-2</v>
      </c>
      <c r="M34">
        <f t="shared" si="22"/>
        <v>3.7256772877880179E-2</v>
      </c>
      <c r="N34">
        <f t="shared" si="21"/>
        <v>0.41900928612230093</v>
      </c>
    </row>
    <row r="35" spans="1:16" x14ac:dyDescent="0.35">
      <c r="A35" t="s">
        <v>32</v>
      </c>
      <c r="B35">
        <f>(1000*9.81*B22*B31)/(1000/0.7)</f>
        <v>3.0453704037580638E-3</v>
      </c>
      <c r="C35">
        <f t="shared" ref="C35:M35" si="23">(1000*9.81*C22*C31)/(1000/0.7)</f>
        <v>1.2042985553999999E-2</v>
      </c>
      <c r="D35">
        <f t="shared" si="23"/>
        <v>1.2113873120322579E-2</v>
      </c>
      <c r="E35">
        <f t="shared" si="23"/>
        <v>1.2032882038799998E-2</v>
      </c>
      <c r="F35">
        <f t="shared" si="23"/>
        <v>1.2057950044451612E-2</v>
      </c>
      <c r="G35">
        <f t="shared" si="23"/>
        <v>1.2104469140399999E-2</v>
      </c>
      <c r="H35">
        <f t="shared" si="23"/>
        <v>1.2176056241999999E-2</v>
      </c>
      <c r="I35">
        <f t="shared" si="23"/>
        <v>1.2145173349354837E-2</v>
      </c>
      <c r="J35">
        <f t="shared" si="23"/>
        <v>1.2069106837199998E-2</v>
      </c>
      <c r="K35">
        <f t="shared" si="23"/>
        <v>1.205544602612903E-2</v>
      </c>
      <c r="L35">
        <f t="shared" si="23"/>
        <v>1.1982426069599999E-2</v>
      </c>
      <c r="M35">
        <f t="shared" si="23"/>
        <v>1.208674625516129E-2</v>
      </c>
      <c r="N35">
        <f t="shared" si="21"/>
        <v>0.1359124850811774</v>
      </c>
    </row>
    <row r="36" spans="1:16" x14ac:dyDescent="0.35">
      <c r="A36" t="s">
        <v>33</v>
      </c>
      <c r="B36">
        <f xml:space="preserve"> (1000*9.81*B25*B31)/(1000*0.7)</f>
        <v>3.0675556938940091E-3</v>
      </c>
      <c r="C36">
        <f t="shared" ref="C36:M36" si="24" xml:space="preserve"> (1000*9.81*C25*C31)/(1000*0.7)</f>
        <v>1.1987577753061224E-2</v>
      </c>
      <c r="D36">
        <f t="shared" si="24"/>
        <v>1.2132246255760367E-2</v>
      </c>
      <c r="E36">
        <f t="shared" si="24"/>
        <v>1.1966958334285713E-2</v>
      </c>
      <c r="F36">
        <f t="shared" si="24"/>
        <v>1.2018117529493088E-2</v>
      </c>
      <c r="G36">
        <f t="shared" si="24"/>
        <v>1.211305446E-2</v>
      </c>
      <c r="H36">
        <f t="shared" si="24"/>
        <v>1.2259150585714286E-2</v>
      </c>
      <c r="I36">
        <f t="shared" si="24"/>
        <v>1.2196124274193547E-2</v>
      </c>
      <c r="J36">
        <f t="shared" si="24"/>
        <v>1.2040886494285714E-2</v>
      </c>
      <c r="K36">
        <f t="shared" si="24"/>
        <v>1.2013007288018431E-2</v>
      </c>
      <c r="L36">
        <f t="shared" si="24"/>
        <v>1.186398696857143E-2</v>
      </c>
      <c r="M36">
        <f t="shared" si="24"/>
        <v>1.2076885306451611E-2</v>
      </c>
      <c r="N36">
        <f t="shared" si="21"/>
        <v>0.13573555094372941</v>
      </c>
    </row>
    <row r="38" spans="1:16" x14ac:dyDescent="0.35">
      <c r="A38" t="s">
        <v>34</v>
      </c>
      <c r="B38">
        <f>B32+B34+B35+B36</f>
        <v>2.7985467217582948E-2</v>
      </c>
      <c r="C38">
        <f t="shared" ref="C38:M38" si="25">C32+C34+C35+C36</f>
        <v>0.11095543774175511</v>
      </c>
      <c r="D38">
        <f t="shared" si="25"/>
        <v>0.11146033081617512</v>
      </c>
      <c r="E38">
        <f t="shared" si="25"/>
        <v>0.11088347597022856</v>
      </c>
      <c r="F38">
        <f t="shared" si="25"/>
        <v>0.11106202156150229</v>
      </c>
      <c r="G38">
        <f t="shared" si="25"/>
        <v>0.11139335144897142</v>
      </c>
      <c r="H38">
        <f t="shared" si="25"/>
        <v>0.11190322692771429</v>
      </c>
      <c r="I38">
        <f t="shared" si="25"/>
        <v>0.1116832651005069</v>
      </c>
      <c r="J38">
        <f t="shared" si="25"/>
        <v>0.11114148524862857</v>
      </c>
      <c r="K38">
        <f t="shared" si="25"/>
        <v>0.11104418681875576</v>
      </c>
      <c r="L38">
        <f t="shared" si="25"/>
        <v>0.1105241059038857</v>
      </c>
      <c r="M38">
        <f t="shared" si="25"/>
        <v>0.11126712110308755</v>
      </c>
    </row>
    <row r="39" spans="1:16" x14ac:dyDescent="0.35">
      <c r="A39" t="s">
        <v>35</v>
      </c>
      <c r="B39">
        <f>B38*B5</f>
        <v>0.86754948374507135</v>
      </c>
      <c r="C39">
        <f t="shared" ref="C39:M39" si="26">C38*C5</f>
        <v>3.106752256769143</v>
      </c>
      <c r="D39">
        <f t="shared" si="26"/>
        <v>3.4552702553014289</v>
      </c>
      <c r="E39">
        <f t="shared" si="26"/>
        <v>3.3265042791068566</v>
      </c>
      <c r="F39">
        <f t="shared" si="26"/>
        <v>3.4429226684065708</v>
      </c>
      <c r="G39">
        <f t="shared" si="26"/>
        <v>3.3418005434691427</v>
      </c>
      <c r="H39">
        <f t="shared" si="26"/>
        <v>3.469000034759143</v>
      </c>
      <c r="I39">
        <f t="shared" si="26"/>
        <v>3.4621812181157137</v>
      </c>
      <c r="J39">
        <f t="shared" si="26"/>
        <v>3.3342445574588573</v>
      </c>
      <c r="K39">
        <f t="shared" si="26"/>
        <v>3.4423697913814286</v>
      </c>
      <c r="L39">
        <f t="shared" si="26"/>
        <v>3.3157231771165709</v>
      </c>
      <c r="M39">
        <f t="shared" si="26"/>
        <v>3.4492807541957142</v>
      </c>
    </row>
    <row r="40" spans="1:16" x14ac:dyDescent="0.35">
      <c r="A40" t="s">
        <v>36</v>
      </c>
      <c r="B40">
        <f>SUM(B39:M39)</f>
        <v>38.013599019825641</v>
      </c>
    </row>
    <row r="41" spans="1:16" x14ac:dyDescent="0.35">
      <c r="A41" t="s">
        <v>40</v>
      </c>
      <c r="B41">
        <f>B39+B4</f>
        <v>20.578899483745076</v>
      </c>
      <c r="C41">
        <f t="shared" ref="C41:M41" si="27">C39+C4</f>
        <v>20.910552256769144</v>
      </c>
      <c r="D41">
        <f t="shared" si="27"/>
        <v>20.976470255301429</v>
      </c>
      <c r="E41">
        <f t="shared" si="27"/>
        <v>18.163004279106858</v>
      </c>
      <c r="F41">
        <f t="shared" si="27"/>
        <v>16.948847668406572</v>
      </c>
      <c r="G41">
        <f t="shared" si="27"/>
        <v>15.352300543469143</v>
      </c>
      <c r="H41">
        <f t="shared" si="27"/>
        <v>16.609900034759143</v>
      </c>
      <c r="I41">
        <f t="shared" si="27"/>
        <v>18.063181218115716</v>
      </c>
      <c r="J41">
        <f t="shared" si="27"/>
        <v>19.583744557458857</v>
      </c>
      <c r="K41">
        <f t="shared" si="27"/>
        <v>22.423669791381428</v>
      </c>
      <c r="L41">
        <f t="shared" si="27"/>
        <v>23.804223177116569</v>
      </c>
      <c r="M41">
        <f t="shared" si="27"/>
        <v>25.350780754195714</v>
      </c>
    </row>
    <row r="42" spans="1:16" x14ac:dyDescent="0.35">
      <c r="A42" t="s">
        <v>41</v>
      </c>
      <c r="B42">
        <f>B3-B41</f>
        <v>-6.6588994837450759</v>
      </c>
      <c r="C42">
        <f t="shared" ref="C42:M42" si="28">C3-C41</f>
        <v>-3.860552256769143</v>
      </c>
      <c r="D42">
        <f t="shared" si="28"/>
        <v>2.2735297446985712</v>
      </c>
      <c r="E42">
        <f t="shared" si="28"/>
        <v>6.5069957208931442</v>
      </c>
      <c r="F42">
        <f t="shared" si="28"/>
        <v>9.2911523315934268</v>
      </c>
      <c r="G42">
        <f t="shared" si="28"/>
        <v>11.617699456530856</v>
      </c>
      <c r="H42">
        <f t="shared" si="28"/>
        <v>12.250099965240857</v>
      </c>
      <c r="I42">
        <f t="shared" si="28"/>
        <v>9.6968187818842857</v>
      </c>
      <c r="J42">
        <f t="shared" si="28"/>
        <v>4.3962554425411433</v>
      </c>
      <c r="K42">
        <f t="shared" si="28"/>
        <v>-2.7636697913814281</v>
      </c>
      <c r="L42">
        <f t="shared" si="28"/>
        <v>-10.804223177116569</v>
      </c>
      <c r="M42">
        <f t="shared" si="28"/>
        <v>-12.590780754195714</v>
      </c>
      <c r="O42" t="s">
        <v>42</v>
      </c>
      <c r="P42">
        <f>SUM(D42:J42)</f>
        <v>56.032551443382289</v>
      </c>
    </row>
    <row r="43" spans="1:16" x14ac:dyDescent="0.35">
      <c r="A43" t="s">
        <v>37</v>
      </c>
      <c r="B43">
        <f xml:space="preserve"> B40+N4</f>
        <v>238.76557401982564</v>
      </c>
      <c r="O43" t="s">
        <v>43</v>
      </c>
      <c r="P43">
        <f>SUM(B42,C42,K42,L42,M42)</f>
        <v>-36.678125463207927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182A-C42D-4711-9864-826D1922F4C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James Mclellan - fraser.mclellan@studio.unibo.it</dc:creator>
  <cp:lastModifiedBy>Fraser James Mclellan - fraser.mclellan@studio.unibo.i</cp:lastModifiedBy>
  <dcterms:created xsi:type="dcterms:W3CDTF">2024-12-06T15:15:30Z</dcterms:created>
  <dcterms:modified xsi:type="dcterms:W3CDTF">2025-01-21T16:00:53Z</dcterms:modified>
</cp:coreProperties>
</file>